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Summary" sheetId="2" state="visible" r:id="rId4"/>
    <sheet name="Backend" sheetId="3" state="visible" r:id="rId5"/>
    <sheet name="Frontend" sheetId="4" state="visible" r:id="rId6"/>
    <sheet name="Open Questions" sheetId="5" state="visible" r:id="rId7"/>
  </sheets>
  <definedNames>
    <definedName function="false" hidden="true" localSheetId="2" name="_xlnm._FilterDatabase" vbProcedure="false">Backend!$A$1:$K$68</definedName>
    <definedName function="false" hidden="true" localSheetId="3" name="_xlnm._FilterDatabase" vbProcedure="false">Frontend!$A$1:$L$49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<sst xmlns="http://schemas.openxmlformats.org/spreadsheetml/2006/main" count="1097" uniqueCount="473">
  <si>
    <t xml:space="preserve">CareSaath — Dev Tracker</t>
  </si>
  <si>
    <t xml:space="preserve">Source</t>
  </si>
  <si>
    <t xml:space="preserve">CareSaath SRS (Sep 23, 2026). Tasks are derived from SRS requirements; nothing is invented. Unknowns are marked TBD (see Open Questions sheet).</t>
  </si>
  <si>
    <t xml:space="preserve">Companion docs</t>
  </si>
  <si>
    <t xml:space="preserve">CARESAATH_ERD.md, CARESAATH_TRD.md</t>
  </si>
  <si>
    <t xml:space="preserve">Sheets</t>
  </si>
  <si>
    <t xml:space="preserve">Summary (auto-counts) · Backend · Frontend · Open Questions</t>
  </si>
  <si>
    <t xml:space="preserve">Cells you edit</t>
  </si>
  <si>
    <t xml:space="preserve">Owner, Status, Start, Due, Notes (blue text). Status uses a dropdown. Everything else is pre-filled from the SRS.</t>
  </si>
  <si>
    <t xml:space="preserve">Status values</t>
  </si>
  <si>
    <t xml:space="preserve">Not Started · In Progress · In Review · Blocked · Done</t>
  </si>
  <si>
    <t xml:space="preserve">Priority</t>
  </si>
  <si>
    <t xml:space="preserve">High = needed for a working MVP flow or required by SRS constraints. Medium/Low = can follow. Priority is a proposal; adjust freely.</t>
  </si>
  <si>
    <t xml:space="preserve">Phases</t>
  </si>
  <si>
    <t xml:space="preserve">P0 Setup · P1 Core (auth, onboarding, verification) · P2 Booking &amp; Visits · P3 Payments · P4 Safety &amp; Admin · P5 Hardening</t>
  </si>
  <si>
    <t xml:space="preserve">Estimates / dates</t>
  </si>
  <si>
    <t xml:space="preserve">Not filled in. Effort estimates need team size and decisions in Open Questions (TBD).</t>
  </si>
  <si>
    <t xml:space="preserve">Frontend note</t>
  </si>
  <si>
    <t xml:space="preserve">Customer-app framework and caregiver panel (web vs native) are undecided in the SRS; see Open Questions #1 and #2.</t>
  </si>
  <si>
    <t xml:space="preserve">Progress Summary</t>
  </si>
  <si>
    <t xml:space="preserve">Status</t>
  </si>
  <si>
    <t xml:space="preserve">Backend</t>
  </si>
  <si>
    <t xml:space="preserve">Frontend</t>
  </si>
  <si>
    <t xml:space="preserve">Total</t>
  </si>
  <si>
    <t xml:space="preserve">Not Started</t>
  </si>
  <si>
    <t xml:space="preserve">In Progress</t>
  </si>
  <si>
    <t xml:space="preserve">In Review</t>
  </si>
  <si>
    <t xml:space="preserve">Blocked</t>
  </si>
  <si>
    <t xml:space="preserve">Done</t>
  </si>
  <si>
    <t xml:space="preserve">Total tasks</t>
  </si>
  <si>
    <t xml:space="preserve">% Done</t>
  </si>
  <si>
    <t xml:space="preserve">Tasks by phase</t>
  </si>
  <si>
    <t xml:space="preserve">Phase</t>
  </si>
  <si>
    <t xml:space="preserve">P0 Setup</t>
  </si>
  <si>
    <t xml:space="preserve">P1 Core</t>
  </si>
  <si>
    <t xml:space="preserve">P2 Booking &amp; Visits</t>
  </si>
  <si>
    <t xml:space="preserve">P3 Payments</t>
  </si>
  <si>
    <t xml:space="preserve">P4 Safety &amp; Admin</t>
  </si>
  <si>
    <t xml:space="preserve">P5 Hardening</t>
  </si>
  <si>
    <t xml:space="preserve">Open questions still unresolved</t>
  </si>
  <si>
    <t xml:space="preserve">ID</t>
  </si>
  <si>
    <t xml:space="preserve">Module</t>
  </si>
  <si>
    <t xml:space="preserve">Task</t>
  </si>
  <si>
    <t xml:space="preserve">SRS Ref</t>
  </si>
  <si>
    <t xml:space="preserve">Owner</t>
  </si>
  <si>
    <t xml:space="preserve">Start</t>
  </si>
  <si>
    <t xml:space="preserve">Due</t>
  </si>
  <si>
    <t xml:space="preserve">Notes</t>
  </si>
  <si>
    <t xml:space="preserve">BE-001</t>
  </si>
  <si>
    <t xml:space="preserve">Setup</t>
  </si>
  <si>
    <t xml:space="preserve">Initialise NestJS + TypeScript project, npm scripts, lint/format</t>
  </si>
  <si>
    <t xml:space="preserve">TRD §3.3</t>
  </si>
  <si>
    <t xml:space="preserve">High</t>
  </si>
  <si>
    <t xml:space="preserve">BE-002</t>
  </si>
  <si>
    <t xml:space="preserve">Docker Compose: postgres, redis, minio, mailhog, backend</t>
  </si>
  <si>
    <t xml:space="preserve">TRD §10.1</t>
  </si>
  <si>
    <t xml:space="preserve">Version pins TBD</t>
  </si>
  <si>
    <t xml:space="preserve">BE-003</t>
  </si>
  <si>
    <t xml:space="preserve">Prisma setup, initial schema from ERD, migrations, seed script</t>
  </si>
  <si>
    <t xml:space="preserve">ERD</t>
  </si>
  <si>
    <t xml:space="preserve">BE-004</t>
  </si>
  <si>
    <t xml:space="preserve">Config module + .env validation; tunable-values table</t>
  </si>
  <si>
    <t xml:space="preserve">TRD §4</t>
  </si>
  <si>
    <t xml:space="preserve">Holds TBD windows/limits</t>
  </si>
  <si>
    <t xml:space="preserve">BE-005</t>
  </si>
  <si>
    <t xml:space="preserve">Global validation, exception filter, logging, pagination, Swagger</t>
  </si>
  <si>
    <t xml:space="preserve">TRD §5</t>
  </si>
  <si>
    <t xml:space="preserve">Medium</t>
  </si>
  <si>
    <t xml:space="preserve">BE-006</t>
  </si>
  <si>
    <t xml:space="preserve">MinIO service wrapper (upload, pre-signed URL, bucket policy)</t>
  </si>
  <si>
    <t xml:space="preserve">TRD §7</t>
  </si>
  <si>
    <t xml:space="preserve">BE-007</t>
  </si>
  <si>
    <t xml:space="preserve">CI pipeline (install, lint, type-check, test, build)</t>
  </si>
  <si>
    <t xml:space="preserve">TRD §10.4</t>
  </si>
  <si>
    <t xml:space="preserve">CI tool TBD</t>
  </si>
  <si>
    <t xml:space="preserve">BE-008</t>
  </si>
  <si>
    <t xml:space="preserve">Auth</t>
  </si>
  <si>
    <t xml:space="preserve">OTP request endpoint (generate, hash, store in Redis, send SMS)</t>
  </si>
  <si>
    <t xml:space="preserve">FR-C1</t>
  </si>
  <si>
    <t xml:space="preserve">SMS vendor TBD</t>
  </si>
  <si>
    <t xml:space="preserve">BE-009</t>
  </si>
  <si>
    <t xml:space="preserve">OTP verify endpoint, issue JWT access + refresh</t>
  </si>
  <si>
    <t xml:space="preserve">TTLs TBD</t>
  </si>
  <si>
    <t xml:space="preserve">BE-010</t>
  </si>
  <si>
    <t xml:space="preserve">Refresh/logout, token deny-list in Redis</t>
  </si>
  <si>
    <t xml:space="preserve">TRD §5.1</t>
  </si>
  <si>
    <t xml:space="preserve">BE-011</t>
  </si>
  <si>
    <t xml:space="preserve">Role guards (Customer/Caregiver/Admin) + ownership checks</t>
  </si>
  <si>
    <t xml:space="preserve">SRS §2.3</t>
  </si>
  <si>
    <t xml:space="preserve">BE-012</t>
  </si>
  <si>
    <t xml:space="preserve">OTP/login rate limiting</t>
  </si>
  <si>
    <t xml:space="preserve">Limits TBD</t>
  </si>
  <si>
    <t xml:space="preserve">BE-013</t>
  </si>
  <si>
    <t xml:space="preserve">Admin login method</t>
  </si>
  <si>
    <t xml:space="preserve">SRS §8.1</t>
  </si>
  <si>
    <t xml:space="preserve">TBD: SRS silent</t>
  </si>
  <si>
    <t xml:space="preserve">BE-014</t>
  </si>
  <si>
    <t xml:space="preserve">Users</t>
  </si>
  <si>
    <t xml:space="preserve">User CRUD, language preference (EN/UR), status handling</t>
  </si>
  <si>
    <t xml:space="preserve">SRS §2.5</t>
  </si>
  <si>
    <t xml:space="preserve">BE-015</t>
  </si>
  <si>
    <t xml:space="preserve">Patients</t>
  </si>
  <si>
    <t xml:space="preserve">Patient profile CRUD (self / family member, medical context)</t>
  </si>
  <si>
    <t xml:space="preserve">FR-C2</t>
  </si>
  <si>
    <t xml:space="preserve">Fields TBD; encrypt</t>
  </si>
  <si>
    <t xml:space="preserve">BE-016</t>
  </si>
  <si>
    <t xml:space="preserve">Addresses</t>
  </si>
  <si>
    <t xml:space="preserve">Address CRUD with lat/lng</t>
  </si>
  <si>
    <t xml:space="preserve">FR-C7</t>
  </si>
  <si>
    <t xml:space="preserve">BE-017</t>
  </si>
  <si>
    <t xml:space="preserve">Caregiver</t>
  </si>
  <si>
    <t xml:space="preserve">Caregiver registration (name, CNIC, license no.)</t>
  </si>
  <si>
    <t xml:space="preserve">FR-CG1</t>
  </si>
  <si>
    <t xml:space="preserve">Encrypt CNIC</t>
  </si>
  <si>
    <t xml:space="preserve">BE-018</t>
  </si>
  <si>
    <t xml:space="preserve">Certificate/license document upload to MinIO</t>
  </si>
  <si>
    <t xml:space="preserve">BE-019</t>
  </si>
  <si>
    <t xml:space="preserve">Profile: specialty, service area, rate per visit</t>
  </si>
  <si>
    <t xml:space="preserve">FR-CG3</t>
  </si>
  <si>
    <t xml:space="preserve">Service-area model TBD</t>
  </si>
  <si>
    <t xml:space="preserve">BE-020</t>
  </si>
  <si>
    <t xml:space="preserve">Public caregiver profile endpoint (quals, license no., experience, ratings, rate)</t>
  </si>
  <si>
    <t xml:space="preserve">FR-C4</t>
  </si>
  <si>
    <t xml:space="preserve">BE-021</t>
  </si>
  <si>
    <t xml:space="preserve">Verification</t>
  </si>
  <si>
    <t xml:space="preserve">Admin queue + approve/reject endpoints, block unapproved from search</t>
  </si>
  <si>
    <t xml:space="preserve">FR-CG2, FR-A1</t>
  </si>
  <si>
    <t xml:space="preserve">No unverified profile goes live</t>
  </si>
  <si>
    <t xml:space="preserve">BE-022</t>
  </si>
  <si>
    <t xml:space="preserve">Periodic re-verification due dates + reminders</t>
  </si>
  <si>
    <t xml:space="preserve">FR-A2</t>
  </si>
  <si>
    <t xml:space="preserve">Interval TBD (annual example)</t>
  </si>
  <si>
    <t xml:space="preserve">BE-023</t>
  </si>
  <si>
    <t xml:space="preserve">Availability</t>
  </si>
  <si>
    <t xml:space="preserve">Weekly availability rules CRUD</t>
  </si>
  <si>
    <t xml:space="preserve">FR-CG4</t>
  </si>
  <si>
    <t xml:space="preserve">BE-024</t>
  </si>
  <si>
    <t xml:space="preserve">Blocked dates CRUD</t>
  </si>
  <si>
    <t xml:space="preserve">BE-025</t>
  </si>
  <si>
    <t xml:space="preserve">Search</t>
  </si>
  <si>
    <t xml:space="preserve">Caregiver search by specialty, location, availability</t>
  </si>
  <si>
    <t xml:space="preserve">FR-C3</t>
  </si>
  <si>
    <t xml:space="preserve">BE-026</t>
  </si>
  <si>
    <t xml:space="preserve">DB indexes + Redis caching to meet &lt;3s on 3G</t>
  </si>
  <si>
    <t xml:space="preserve">SRS §6</t>
  </si>
  <si>
    <t xml:space="preserve">Target definition TBD</t>
  </si>
  <si>
    <t xml:space="preserve">BE-027</t>
  </si>
  <si>
    <t xml:space="preserve">Booking</t>
  </si>
  <si>
    <t xml:space="preserve">Create single booking (date, time window, address, patient)</t>
  </si>
  <si>
    <t xml:space="preserve">FR-C6, FR-C7</t>
  </si>
  <si>
    <t xml:space="preserve">BE-028</t>
  </si>
  <si>
    <t xml:space="preserve">Recurring booking: generate one visit per occurrence</t>
  </si>
  <si>
    <t xml:space="preserve">FR-C6</t>
  </si>
  <si>
    <t xml:space="preserve">Allowed patterns TBD</t>
  </si>
  <si>
    <t xml:space="preserve">BE-029</t>
  </si>
  <si>
    <t xml:space="preserve">Double-booking prevention (transactional availability check)</t>
  </si>
  <si>
    <t xml:space="preserve">Design</t>
  </si>
  <si>
    <t xml:space="preserve">BE-030</t>
  </si>
  <si>
    <t xml:space="preserve">Prescription/care-plan upload with booking</t>
  </si>
  <si>
    <t xml:space="preserve">FR-C5</t>
  </si>
  <si>
    <t xml:space="preserve">File rules TBD</t>
  </si>
  <si>
    <t xml:space="preserve">BE-031</t>
  </si>
  <si>
    <t xml:space="preserve">Caregiver accept/decline within response window</t>
  </si>
  <si>
    <t xml:space="preserve">FR-CG5</t>
  </si>
  <si>
    <t xml:space="preserve">Window + timeout behaviour TBD</t>
  </si>
  <si>
    <t xml:space="preserve">BE-032</t>
  </si>
  <si>
    <t xml:space="preserve">Customer cancel/reschedule within notice window</t>
  </si>
  <si>
    <t xml:space="preserve">FR-C13</t>
  </si>
  <si>
    <t xml:space="preserve">Window TBD; Cancelled state is a gap-fill</t>
  </si>
  <si>
    <t xml:space="preserve">BE-033</t>
  </si>
  <si>
    <t xml:space="preserve">Visits</t>
  </si>
  <si>
    <t xml:space="preserve">Visit state machine (Requested → … → Completed) + history table</t>
  </si>
  <si>
    <t xml:space="preserve">FR-C9, SRS §8.2</t>
  </si>
  <si>
    <t xml:space="preserve">BE-034</t>
  </si>
  <si>
    <t xml:space="preserve">En-route endpoint</t>
  </si>
  <si>
    <t xml:space="preserve">FR-C9</t>
  </si>
  <si>
    <t xml:space="preserve">Trigger (manual vs auto) TBD</t>
  </si>
  <si>
    <t xml:space="preserve">BE-035</t>
  </si>
  <si>
    <t xml:space="preserve">Check-in/check-out via GPS or OTP, store coordinates</t>
  </si>
  <si>
    <t xml:space="preserve">FR-CG7</t>
  </si>
  <si>
    <t xml:space="preserve">GPS radius TBD</t>
  </si>
  <si>
    <t xml:space="preserve">BE-036</t>
  </si>
  <si>
    <t xml:space="preserve">Visit note submit (moves to Completed) + customer view</t>
  </si>
  <si>
    <t xml:space="preserve">FR-CG8, FR-C11</t>
  </si>
  <si>
    <t xml:space="preserve">BE-037</t>
  </si>
  <si>
    <t xml:space="preserve">Caregiver view of patient context + prescription (secured access)</t>
  </si>
  <si>
    <t xml:space="preserve">FR-CG6</t>
  </si>
  <si>
    <t xml:space="preserve">Only assigned caregiver + admin</t>
  </si>
  <si>
    <t xml:space="preserve">BE-038</t>
  </si>
  <si>
    <t xml:space="preserve">Notifications</t>
  </si>
  <si>
    <t xml:space="preserve">Notification service + event triggers on status change</t>
  </si>
  <si>
    <t xml:space="preserve">FR-C10</t>
  </si>
  <si>
    <t xml:space="preserve">BE-039</t>
  </si>
  <si>
    <t xml:space="preserve">SMS integration</t>
  </si>
  <si>
    <t xml:space="preserve">FR-C10, SRS §7.3</t>
  </si>
  <si>
    <t xml:space="preserve">Vendor TBD</t>
  </si>
  <si>
    <t xml:space="preserve">BE-040</t>
  </si>
  <si>
    <t xml:space="preserve">WhatsApp Business API integration + templates</t>
  </si>
  <si>
    <t xml:space="preserve">Provider/approval TBD</t>
  </si>
  <si>
    <t xml:space="preserve">BE-041</t>
  </si>
  <si>
    <t xml:space="preserve">Push notification integration</t>
  </si>
  <si>
    <t xml:space="preserve">Provider TBD</t>
  </si>
  <si>
    <t xml:space="preserve">BE-042</t>
  </si>
  <si>
    <t xml:space="preserve">Reviews</t>
  </si>
  <si>
    <t xml:space="preserve">Rating + review after completed visit; update caregiver rating</t>
  </si>
  <si>
    <t xml:space="preserve">FR-C12</t>
  </si>
  <si>
    <t xml:space="preserve">Scale TBD</t>
  </si>
  <si>
    <t xml:space="preserve">BE-043</t>
  </si>
  <si>
    <t xml:space="preserve">Payments</t>
  </si>
  <si>
    <t xml:space="preserve">Payment records + cash-on-visit flow</t>
  </si>
  <si>
    <t xml:space="preserve">FR-C8</t>
  </si>
  <si>
    <t xml:space="preserve">Cash settlement TBD</t>
  </si>
  <si>
    <t xml:space="preserve">BE-044</t>
  </si>
  <si>
    <t xml:space="preserve">JazzCash integration + signed idempotent webhook</t>
  </si>
  <si>
    <t xml:space="preserve">FR-C8, SRS §7.2</t>
  </si>
  <si>
    <t xml:space="preserve">Merchant docs needed</t>
  </si>
  <si>
    <t xml:space="preserve">BE-045</t>
  </si>
  <si>
    <t xml:space="preserve">Easypaisa integration + webhook</t>
  </si>
  <si>
    <t xml:space="preserve">BE-046</t>
  </si>
  <si>
    <t xml:space="preserve">Card gateway integration + webhook</t>
  </si>
  <si>
    <t xml:space="preserve">BE-047</t>
  </si>
  <si>
    <t xml:space="preserve">Raast integration</t>
  </si>
  <si>
    <t xml:space="preserve">SRS §7.2</t>
  </si>
  <si>
    <t xml:space="preserve">Low</t>
  </si>
  <si>
    <t xml:space="preserve">Usage TBD</t>
  </si>
  <si>
    <t xml:space="preserve">BE-048</t>
  </si>
  <si>
    <t xml:space="preserve">Commissions</t>
  </si>
  <si>
    <t xml:space="preserve">Commission rate config per category + calculation at payment</t>
  </si>
  <si>
    <t xml:space="preserve">FR-A4</t>
  </si>
  <si>
    <t xml:space="preserve">Rates TBD</t>
  </si>
  <si>
    <t xml:space="preserve">BE-049</t>
  </si>
  <si>
    <t xml:space="preserve">Payouts</t>
  </si>
  <si>
    <t xml:space="preserve">Earnings summary endpoint</t>
  </si>
  <si>
    <t xml:space="preserve">FR-CG9</t>
  </si>
  <si>
    <t xml:space="preserve">BE-050</t>
  </si>
  <si>
    <t xml:space="preserve">Payout account + payout request to bank/wallet</t>
  </si>
  <si>
    <t xml:space="preserve">Approval flow TBD; encrypt accounts</t>
  </si>
  <si>
    <t xml:space="preserve">BE-051</t>
  </si>
  <si>
    <t xml:space="preserve">Promos</t>
  </si>
  <si>
    <t xml:space="preserve">Promo code CRUD + apply at booking</t>
  </si>
  <si>
    <t xml:space="preserve">FR-A8</t>
  </si>
  <si>
    <t xml:space="preserve">Platform-wide discount scope TBD</t>
  </si>
  <si>
    <t xml:space="preserve">BE-052</t>
  </si>
  <si>
    <t xml:space="preserve">Safety</t>
  </si>
  <si>
    <t xml:space="preserve">Safety complaint tied to visit (customer)</t>
  </si>
  <si>
    <t xml:space="preserve">FR-C14</t>
  </si>
  <si>
    <t xml:space="preserve">BE-053</t>
  </si>
  <si>
    <t xml:space="preserve">Caregiver safety/access report</t>
  </si>
  <si>
    <t xml:space="preserve">FR-CG10</t>
  </si>
  <si>
    <t xml:space="preserve">BE-054</t>
  </si>
  <si>
    <t xml:space="preserve">SOS endpoint: alert admin + emergency contact</t>
  </si>
  <si>
    <t xml:space="preserve">SRS §9.2</t>
  </si>
  <si>
    <t xml:space="preserve">Recipient TBD</t>
  </si>
  <si>
    <t xml:space="preserve">BE-055</t>
  </si>
  <si>
    <t xml:space="preserve">Incident management: priority escalation + audit trail</t>
  </si>
  <si>
    <t xml:space="preserve">FR-A6</t>
  </si>
  <si>
    <t xml:space="preserve">Priority levels TBD</t>
  </si>
  <si>
    <t xml:space="preserve">BE-056</t>
  </si>
  <si>
    <t xml:space="preserve">Disputes</t>
  </si>
  <si>
    <t xml:space="preserve">Dispute create/mediate/resolve endpoints</t>
  </si>
  <si>
    <t xml:space="preserve">FR-A7</t>
  </si>
  <si>
    <t xml:space="preserve">Workflow TBD</t>
  </si>
  <si>
    <t xml:space="preserve">BE-057</t>
  </si>
  <si>
    <t xml:space="preserve">Admin</t>
  </si>
  <si>
    <t xml:space="preserve">Suspend/deactivate caregiver</t>
  </si>
  <si>
    <t xml:space="preserve">FR-A3</t>
  </si>
  <si>
    <t xml:space="preserve">BE-058</t>
  </si>
  <si>
    <t xml:space="preserve">Analytics endpoint (bookings, revenue, active caregivers, cancellation rate)</t>
  </si>
  <si>
    <t xml:space="preserve">FR-A5</t>
  </si>
  <si>
    <t xml:space="preserve">BE-059</t>
  </si>
  <si>
    <t xml:space="preserve">CSV/Excel export of financial and operational reports</t>
  </si>
  <si>
    <t xml:space="preserve">FR-A9</t>
  </si>
  <si>
    <t xml:space="preserve">BE-060</t>
  </si>
  <si>
    <t xml:space="preserve">Audit</t>
  </si>
  <si>
    <t xml:space="preserve">Audit log service (credential approvals, check-in/out, incidents)</t>
  </si>
  <si>
    <t xml:space="preserve">Wire in as modules are built</t>
  </si>
  <si>
    <t xml:space="preserve">BE-061</t>
  </si>
  <si>
    <t xml:space="preserve">Security</t>
  </si>
  <si>
    <t xml:space="preserve">Field-level encryption (CNIC, medical context, payout accounts)</t>
  </si>
  <si>
    <t xml:space="preserve">Key management TBD</t>
  </si>
  <si>
    <t xml:space="preserve">BE-062</t>
  </si>
  <si>
    <t xml:space="preserve">TLS + at-rest encryption config for Postgres/MinIO</t>
  </si>
  <si>
    <t xml:space="preserve">Hosting TBD</t>
  </si>
  <si>
    <t xml:space="preserve">BE-063</t>
  </si>
  <si>
    <t xml:space="preserve">Quality</t>
  </si>
  <si>
    <t xml:space="preserve">Unit tests: state machine, commission, availability, OTP</t>
  </si>
  <si>
    <t xml:space="preserve">TRD §11</t>
  </si>
  <si>
    <t xml:space="preserve">BE-064</t>
  </si>
  <si>
    <t xml:space="preserve">E2E tests: login, booking→completion, webhooks, doc access control</t>
  </si>
  <si>
    <t xml:space="preserve">BE-065</t>
  </si>
  <si>
    <t xml:space="preserve">Search performance test under throttled 3G</t>
  </si>
  <si>
    <t xml:space="preserve">BE-066</t>
  </si>
  <si>
    <t xml:space="preserve">Idempotency/retry handling for booking, payment, check-in</t>
  </si>
  <si>
    <t xml:space="preserve">No data loss on drop</t>
  </si>
  <si>
    <t xml:space="preserve">BE-067</t>
  </si>
  <si>
    <t xml:space="preserve">Ops</t>
  </si>
  <si>
    <t xml:space="preserve">Backups, health checks, monitoring for 99.5% uptime</t>
  </si>
  <si>
    <t xml:space="preserve">Surface</t>
  </si>
  <si>
    <t xml:space="preserve">FE-001</t>
  </si>
  <si>
    <t xml:space="preserve">Next.js + TypeScript project, lint, folder structure</t>
  </si>
  <si>
    <t xml:space="preserve">Admin / Caregiver (Next.js)</t>
  </si>
  <si>
    <t xml:space="preserve">Admin + caregiver (if web)</t>
  </si>
  <si>
    <t xml:space="preserve">FE-002</t>
  </si>
  <si>
    <t xml:space="preserve">Customer app framework decision and project setup</t>
  </si>
  <si>
    <t xml:space="preserve">SRS §7.1</t>
  </si>
  <si>
    <t xml:space="preserve">Customer</t>
  </si>
  <si>
    <t xml:space="preserve">TBD: native vs other</t>
  </si>
  <si>
    <t xml:space="preserve">FE-003</t>
  </si>
  <si>
    <t xml:space="preserve">i18n setup (English/Urdu) with RTL support</t>
  </si>
  <si>
    <t xml:space="preserve">SRS §2.5, §6</t>
  </si>
  <si>
    <t xml:space="preserve">Shared</t>
  </si>
  <si>
    <t xml:space="preserve">FE-004</t>
  </si>
  <si>
    <t xml:space="preserve">Typed API client from OpenAPI + auth/token handling</t>
  </si>
  <si>
    <t xml:space="preserve">TRD §9</t>
  </si>
  <si>
    <t xml:space="preserve">FE-005</t>
  </si>
  <si>
    <t xml:space="preserve">Design system: tokens, components, large-text mode</t>
  </si>
  <si>
    <t xml:space="preserve">FE-006</t>
  </si>
  <si>
    <t xml:space="preserve">Language switcher in settings</t>
  </si>
  <si>
    <t xml:space="preserve">FE-007</t>
  </si>
  <si>
    <t xml:space="preserve">Phone + OTP login screens</t>
  </si>
  <si>
    <t xml:space="preserve">FE-008</t>
  </si>
  <si>
    <t xml:space="preserve">Patient profile create/edit (self or family)</t>
  </si>
  <si>
    <t xml:space="preserve">Fields TBD</t>
  </si>
  <si>
    <t xml:space="preserve">FE-009</t>
  </si>
  <si>
    <t xml:space="preserve">Saved addresses + map pin picker</t>
  </si>
  <si>
    <t xml:space="preserve">Maps provider TBD</t>
  </si>
  <si>
    <t xml:space="preserve">FE-010</t>
  </si>
  <si>
    <t xml:space="preserve">Caregiver search + filters (specialty, location, availability)</t>
  </si>
  <si>
    <t xml:space="preserve">FE-011</t>
  </si>
  <si>
    <t xml:space="preserve">Caregiver profile screen (quals, license no., experience, ratings, rate)</t>
  </si>
  <si>
    <t xml:space="preserve">FE-012</t>
  </si>
  <si>
    <t xml:space="preserve">Booking flow: single or recurring, date, time window, address</t>
  </si>
  <si>
    <t xml:space="preserve">FE-013</t>
  </si>
  <si>
    <t xml:space="preserve">Prescription/care-plan upload in booking</t>
  </si>
  <si>
    <t xml:space="preserve">FE-014</t>
  </si>
  <si>
    <t xml:space="preserve">Visit status tracking screen</t>
  </si>
  <si>
    <t xml:space="preserve">FE-015</t>
  </si>
  <si>
    <t xml:space="preserve">Caregiver identity + photo shown before visit</t>
  </si>
  <si>
    <t xml:space="preserve">FE-016</t>
  </si>
  <si>
    <t xml:space="preserve">Cancel/reschedule UI</t>
  </si>
  <si>
    <t xml:space="preserve">Window TBD</t>
  </si>
  <si>
    <t xml:space="preserve">FE-017</t>
  </si>
  <si>
    <t xml:space="preserve">View caregiver visit notes</t>
  </si>
  <si>
    <t xml:space="preserve">FR-C11</t>
  </si>
  <si>
    <t xml:space="preserve">FE-018</t>
  </si>
  <si>
    <t xml:space="preserve">Push/notification handling</t>
  </si>
  <si>
    <t xml:space="preserve">FE-019</t>
  </si>
  <si>
    <t xml:space="preserve">Payment screens (cash, card, JazzCash, Easypaisa)</t>
  </si>
  <si>
    <t xml:space="preserve">FE-020</t>
  </si>
  <si>
    <t xml:space="preserve">Rating and review screen</t>
  </si>
  <si>
    <t xml:space="preserve">FE-021</t>
  </si>
  <si>
    <t xml:space="preserve">Safety complaint form tied to a visit</t>
  </si>
  <si>
    <t xml:space="preserve">FE-022</t>
  </si>
  <si>
    <t xml:space="preserve">SOS button during active visit</t>
  </si>
  <si>
    <t xml:space="preserve">FE-023</t>
  </si>
  <si>
    <t xml:space="preserve">Large-text / simple-navigation option</t>
  </si>
  <si>
    <t xml:space="preserve">FE-024</t>
  </si>
  <si>
    <t xml:space="preserve">Registration form (name, CNIC, license, certificate upload)</t>
  </si>
  <si>
    <t xml:space="preserve">FE-025</t>
  </si>
  <si>
    <t xml:space="preserve">Verification status screen (pending/approved/rejected)</t>
  </si>
  <si>
    <t xml:space="preserve">FR-CG2</t>
  </si>
  <si>
    <t xml:space="preserve">FE-026</t>
  </si>
  <si>
    <t xml:space="preserve">Profile: specialty, service area, rate</t>
  </si>
  <si>
    <t xml:space="preserve">FE-027</t>
  </si>
  <si>
    <t xml:space="preserve">Weekly availability + blocked dates</t>
  </si>
  <si>
    <t xml:space="preserve">FE-028</t>
  </si>
  <si>
    <t xml:space="preserve">Incoming requests list with accept/decline + countdown</t>
  </si>
  <si>
    <t xml:space="preserve">FE-029</t>
  </si>
  <si>
    <t xml:space="preserve">Visit detail: patient context + prescription viewer</t>
  </si>
  <si>
    <t xml:space="preserve">FE-030</t>
  </si>
  <si>
    <t xml:space="preserve">En-route / check-in / check-out (GPS or OTP)</t>
  </si>
  <si>
    <t xml:space="preserve">FE-031</t>
  </si>
  <si>
    <t xml:space="preserve">Visit note form</t>
  </si>
  <si>
    <t xml:space="preserve">FR-CG8</t>
  </si>
  <si>
    <t xml:space="preserve">FE-032</t>
  </si>
  <si>
    <t xml:space="preserve">Earnings view + payout request + payout account</t>
  </si>
  <si>
    <t xml:space="preserve">FE-033</t>
  </si>
  <si>
    <t xml:space="preserve">Safety/access issue report</t>
  </si>
  <si>
    <t xml:space="preserve">FE-034</t>
  </si>
  <si>
    <t xml:space="preserve">Admin login + layout/navigation</t>
  </si>
  <si>
    <t xml:space="preserve">Login method TBD</t>
  </si>
  <si>
    <t xml:space="preserve">FE-035</t>
  </si>
  <si>
    <t xml:space="preserve">Caregiver verification queue: view documents, approve/reject</t>
  </si>
  <si>
    <t xml:space="preserve">FR-A1</t>
  </si>
  <si>
    <t xml:space="preserve">FE-036</t>
  </si>
  <si>
    <t xml:space="preserve">FE-037</t>
  </si>
  <si>
    <t xml:space="preserve">Re-verification list/reminders</t>
  </si>
  <si>
    <t xml:space="preserve">FE-038</t>
  </si>
  <si>
    <t xml:space="preserve">Commission rate settings</t>
  </si>
  <si>
    <t xml:space="preserve">FE-039</t>
  </si>
  <si>
    <t xml:space="preserve">Safety incident console with priority and audit trail</t>
  </si>
  <si>
    <t xml:space="preserve">FE-040</t>
  </si>
  <si>
    <t xml:space="preserve">Dispute mediation screens</t>
  </si>
  <si>
    <t xml:space="preserve">FE-041</t>
  </si>
  <si>
    <t xml:space="preserve">Promo code management</t>
  </si>
  <si>
    <t xml:space="preserve">FE-042</t>
  </si>
  <si>
    <t xml:space="preserve">Analytics dashboard</t>
  </si>
  <si>
    <t xml:space="preserve">FE-043</t>
  </si>
  <si>
    <t xml:space="preserve">Report export (CSV/Excel)</t>
  </si>
  <si>
    <t xml:space="preserve">FE-044</t>
  </si>
  <si>
    <t xml:space="preserve">Responsive checks: Chrome, Edge, Safari</t>
  </si>
  <si>
    <t xml:space="preserve">SRS §7.6</t>
  </si>
  <si>
    <t xml:space="preserve">FE-045</t>
  </si>
  <si>
    <t xml:space="preserve">Android 8+ / iOS 13+ device checks</t>
  </si>
  <si>
    <t xml:space="preserve">FE-046</t>
  </si>
  <si>
    <t xml:space="preserve">Urdu/English UI review</t>
  </si>
  <si>
    <t xml:space="preserve">FE-047</t>
  </si>
  <si>
    <t xml:space="preserve">Usability test: first-time / elderly-assisting user in 2 minutes</t>
  </si>
  <si>
    <t xml:space="preserve">FE-048</t>
  </si>
  <si>
    <t xml:space="preserve">Offline/network-drop handling for check-in, notes, booking</t>
  </si>
  <si>
    <t xml:space="preserve">Behaviour TBD</t>
  </si>
  <si>
    <t xml:space="preserve">#</t>
  </si>
  <si>
    <t xml:space="preserve">Open question (TBD)</t>
  </si>
  <si>
    <t xml:space="preserve">Affects</t>
  </si>
  <si>
    <t xml:space="preserve">Suggested decider</t>
  </si>
  <si>
    <t xml:space="preserve">Decision</t>
  </si>
  <si>
    <t xml:space="preserve">Caregiver panel: web (SRS §2.4) or native app (SRS §7.1)?</t>
  </si>
  <si>
    <t xml:space="preserve">Frontend scope, staffing</t>
  </si>
  <si>
    <t xml:space="preserve">Product</t>
  </si>
  <si>
    <t xml:space="preserve">Open</t>
  </si>
  <si>
    <t xml:space="preserve">Mobile framework for customer app (stack has Next.js only)</t>
  </si>
  <si>
    <t xml:space="preserve">Customer app delivery</t>
  </si>
  <si>
    <t xml:space="preserve">Tech lead</t>
  </si>
  <si>
    <t xml:space="preserve">Pilot cities (1–2) and service-area model</t>
  </si>
  <si>
    <t xml:space="preserve">Search design, seeding</t>
  </si>
  <si>
    <t xml:space="preserve">Fields inside 'basic medical context' (FR-C2)</t>
  </si>
  <si>
    <t xml:space="preserve">Patient table, forms</t>
  </si>
  <si>
    <t xml:space="preserve">Product / Compliance</t>
  </si>
  <si>
    <t xml:space="preserve">Specialty list: elderly care and attendant appear in some places only</t>
  </si>
  <si>
    <t xml:space="preserve">Enums, search filters</t>
  </si>
  <si>
    <t xml:space="preserve">Cancellation/reschedule notice window (FR-C13)</t>
  </si>
  <si>
    <t xml:space="preserve">Rules, UI</t>
  </si>
  <si>
    <t xml:space="preserve">Caregiver response window and timeout behaviour (FR-CG5)</t>
  </si>
  <si>
    <t xml:space="preserve">Booking flow</t>
  </si>
  <si>
    <t xml:space="preserve">Cancelled state missing from SRS §8.2 lifecycle</t>
  </si>
  <si>
    <t xml:space="preserve">State machine</t>
  </si>
  <si>
    <t xml:space="preserve">Who triggers 'En Route' (caregiver or automatic)</t>
  </si>
  <si>
    <t xml:space="preserve">Visit flow</t>
  </si>
  <si>
    <t xml:space="preserve">GPS radius / OTP flow for check-in</t>
  </si>
  <si>
    <t xml:space="preserve">Check-in rules</t>
  </si>
  <si>
    <t xml:space="preserve">Payment per visit vs per booking; refund rules</t>
  </si>
  <si>
    <t xml:space="preserve">Payments schema</t>
  </si>
  <si>
    <t xml:space="preserve">Product / Finance</t>
  </si>
  <si>
    <t xml:space="preserve">Cash-on-visit commission settlement</t>
  </si>
  <si>
    <t xml:space="preserve">Finance design</t>
  </si>
  <si>
    <t xml:space="preserve">Finance</t>
  </si>
  <si>
    <t xml:space="preserve">Raast usage (payments, payouts, or both)</t>
  </si>
  <si>
    <t xml:space="preserve">Payment integration</t>
  </si>
  <si>
    <t xml:space="preserve">Commission percentages per category</t>
  </si>
  <si>
    <t xml:space="preserve">Config</t>
  </si>
  <si>
    <t xml:space="preserve">Business</t>
  </si>
  <si>
    <t xml:space="preserve">Payout approval flow and timing</t>
  </si>
  <si>
    <t xml:space="preserve">Gateway merchant docs and credentials (JazzCash, Easypaisa, card)</t>
  </si>
  <si>
    <t xml:space="preserve">Payment work blocked</t>
  </si>
  <si>
    <t xml:space="preserve">SMS, WhatsApp, push providers</t>
  </si>
  <si>
    <t xml:space="preserve">Maps provider</t>
  </si>
  <si>
    <t xml:space="preserve">Address pin, search</t>
  </si>
  <si>
    <t xml:space="preserve">Whose emergency contact receives SOS alert</t>
  </si>
  <si>
    <t xml:space="preserve">Safety flow</t>
  </si>
  <si>
    <t xml:space="preserve">Incident priority levels and escalation SLAs</t>
  </si>
  <si>
    <t xml:space="preserve">Dispute workflow and who may raise one</t>
  </si>
  <si>
    <t xml:space="preserve">OTP expiry, max attempts, rate limits; JWT lifetimes</t>
  </si>
  <si>
    <t xml:space="preserve">PNC/PMDC cross-check: manual or semi-automated; physio body name</t>
  </si>
  <si>
    <t xml:space="preserve">Compliance</t>
  </si>
  <si>
    <t xml:space="preserve">Re-verification interval (SRS example: annual)</t>
  </si>
  <si>
    <t xml:space="preserve">Data protection obligations, retention period, key management</t>
  </si>
  <si>
    <t xml:space="preserve">Hosting provider, CI tool, monitoring</t>
  </si>
  <si>
    <t xml:space="preserve">Infra, uptime</t>
  </si>
  <si>
    <t xml:space="preserve">SRS §8.1 shows caregiver viewing analytics but FR-A5 is admin only</t>
  </si>
  <si>
    <t xml:space="preserve">Scope</t>
  </si>
  <si>
    <t xml:space="preserve">Rating scale and review moderation</t>
  </si>
  <si>
    <t xml:space="preserve">Recurring-schedule patterns allowed</t>
  </si>
  <si>
    <t xml:space="preserve">Promo code types; platform-wide discount scope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</si>
</sst>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15" hidden="false" customHeight="false" outlineLevel="0" collapsed="false">
      <c r="A11" s="2" t="s">
        <v>17</v>
      </c>
      <c r="B11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2"/>
  </cols>
  <sheetData>
    <row r="1" customFormat="false" ht="17.35" hidden="false" customHeight="false" outlineLevel="0" collapsed="false">
      <c r="A1" s="1" t="s">
        <v>19</v>
      </c>
    </row>
    <row r="3" customFormat="false" ht="15" hidden="false" customHeight="false" outlineLevel="0" collapsed="false">
      <c r="A3" s="4" t="s">
        <v>20</v>
      </c>
      <c r="B3" s="4" t="s">
        <v>21</v>
      </c>
      <c r="C3" s="4" t="s">
        <v>22</v>
      </c>
      <c r="D3" s="4" t="s">
        <v>23</v>
      </c>
    </row>
    <row r="4" customFormat="false" ht="15" hidden="false" customHeight="false" outlineLevel="0" collapsed="false">
      <c r="A4" s="5" t="s">
        <v>24</v>
      </c>
      <c r="B4" s="5" t="n">
        <f aca="false">COUNTIF(Backend!$H$2:$H$500,A4)</f>
        <v>67</v>
      </c>
      <c r="C4" s="5" t="n">
        <f aca="false">COUNTIF(Frontend!$I$2:$I$500,A4)</f>
        <v>48</v>
      </c>
      <c r="D4" s="5" t="n">
        <f aca="false">B4+C4</f>
        <v>115</v>
      </c>
    </row>
    <row r="5" customFormat="false" ht="15" hidden="false" customHeight="false" outlineLevel="0" collapsed="false">
      <c r="A5" s="5" t="s">
        <v>25</v>
      </c>
      <c r="B5" s="5" t="n">
        <f aca="false">COUNTIF(Backend!$H$2:$H$500,A5)</f>
        <v>0</v>
      </c>
      <c r="C5" s="5" t="n">
        <f aca="false">COUNTIF(Frontend!$I$2:$I$500,A5)</f>
        <v>0</v>
      </c>
      <c r="D5" s="5" t="n">
        <f aca="false">B5+C5</f>
        <v>0</v>
      </c>
    </row>
    <row r="6" customFormat="false" ht="15" hidden="false" customHeight="false" outlineLevel="0" collapsed="false">
      <c r="A6" s="5" t="s">
        <v>26</v>
      </c>
      <c r="B6" s="5" t="n">
        <f aca="false">COUNTIF(Backend!$H$2:$H$500,A6)</f>
        <v>0</v>
      </c>
      <c r="C6" s="5" t="n">
        <f aca="false">COUNTIF(Frontend!$I$2:$I$500,A6)</f>
        <v>0</v>
      </c>
      <c r="D6" s="5" t="n">
        <f aca="false">B6+C6</f>
        <v>0</v>
      </c>
    </row>
    <row r="7" customFormat="false" ht="15" hidden="false" customHeight="false" outlineLevel="0" collapsed="false">
      <c r="A7" s="5" t="s">
        <v>27</v>
      </c>
      <c r="B7" s="5" t="n">
        <f aca="false">COUNTIF(Backend!$H$2:$H$500,A7)</f>
        <v>0</v>
      </c>
      <c r="C7" s="5" t="n">
        <f aca="false">COUNTIF(Frontend!$I$2:$I$500,A7)</f>
        <v>0</v>
      </c>
      <c r="D7" s="5" t="n">
        <f aca="false">B7+C7</f>
        <v>0</v>
      </c>
    </row>
    <row r="8" customFormat="false" ht="15" hidden="false" customHeight="false" outlineLevel="0" collapsed="false">
      <c r="A8" s="5" t="s">
        <v>28</v>
      </c>
      <c r="B8" s="5" t="n">
        <f aca="false">COUNTIF(Backend!$H$2:$H$500,A8)</f>
        <v>0</v>
      </c>
      <c r="C8" s="5" t="n">
        <f aca="false">COUNTIF(Frontend!$I$2:$I$500,A8)</f>
        <v>0</v>
      </c>
      <c r="D8" s="5" t="n">
        <f aca="false">B8+C8</f>
        <v>0</v>
      </c>
    </row>
    <row r="9" customFormat="false" ht="15" hidden="false" customHeight="false" outlineLevel="0" collapsed="false">
      <c r="A9" s="6" t="s">
        <v>29</v>
      </c>
      <c r="B9" s="6" t="n">
        <f aca="false">SUM(B4:B8)</f>
        <v>67</v>
      </c>
      <c r="C9" s="6" t="n">
        <f aca="false">SUM(C4:C8)</f>
        <v>48</v>
      </c>
      <c r="D9" s="6" t="n">
        <f aca="false">SUM(D4:D8)</f>
        <v>115</v>
      </c>
    </row>
    <row r="10" customFormat="false" ht="15" hidden="false" customHeight="false" outlineLevel="0" collapsed="false">
      <c r="A10" s="6" t="s">
        <v>30</v>
      </c>
      <c r="B10" s="7" t="n">
        <f aca="false">IF(B9=0,0,B8/B9)</f>
        <v>0</v>
      </c>
      <c r="C10" s="7" t="n">
        <f aca="false">IF(C9=0,0,C8/C9)</f>
        <v>0</v>
      </c>
      <c r="D10" s="7" t="n">
        <f aca="false">IF(D9=0,0,D8/D9)</f>
        <v>0</v>
      </c>
    </row>
    <row r="12" customFormat="false" ht="15" hidden="false" customHeight="false" outlineLevel="0" collapsed="false">
      <c r="A12" s="8" t="s">
        <v>31</v>
      </c>
    </row>
    <row r="13" customFormat="false" ht="15" hidden="false" customHeight="false" outlineLevel="0" collapsed="false">
      <c r="A13" s="4" t="s">
        <v>32</v>
      </c>
      <c r="B13" s="4" t="s">
        <v>23</v>
      </c>
      <c r="C13" s="4" t="s">
        <v>28</v>
      </c>
      <c r="D13" s="4" t="s">
        <v>30</v>
      </c>
    </row>
    <row r="14" customFormat="false" ht="15" hidden="false" customHeight="false" outlineLevel="0" collapsed="false">
      <c r="A14" s="5" t="s">
        <v>33</v>
      </c>
      <c r="B14" s="5" t="n">
        <f aca="false">COUNTIF(Backend!$E$2:$E$500,A14)+COUNTIF(Frontend!$E$2:$E$500,A14)</f>
        <v>12</v>
      </c>
      <c r="C14" s="5" t="n">
        <f aca="false">COUNTIFS(Backend!$E$2:$E$500,A14,Backend!$H$2:$H$500,"Done")+COUNTIFS(Frontend!$E$2:$E$500,A14,Frontend!$I$2:$I$500,"Done")</f>
        <v>0</v>
      </c>
      <c r="D14" s="9" t="n">
        <f aca="false">IF(B14=0,0,C14/B14)</f>
        <v>0</v>
      </c>
    </row>
    <row r="15" customFormat="false" ht="15" hidden="false" customHeight="false" outlineLevel="0" collapsed="false">
      <c r="A15" s="5" t="s">
        <v>34</v>
      </c>
      <c r="B15" s="5" t="n">
        <f aca="false">COUNTIF(Backend!$E$2:$E$500,A15)+COUNTIF(Frontend!$E$2:$E$500,A15)</f>
        <v>24</v>
      </c>
      <c r="C15" s="5" t="n">
        <f aca="false">COUNTIFS(Backend!$E$2:$E$500,A15,Backend!$H$2:$H$500,"Done")+COUNTIFS(Frontend!$E$2:$E$500,A15,Frontend!$I$2:$I$500,"Done")</f>
        <v>0</v>
      </c>
      <c r="D15" s="9" t="n">
        <f aca="false">IF(B15=0,0,C15/B15)</f>
        <v>0</v>
      </c>
    </row>
    <row r="16" customFormat="false" ht="15" hidden="false" customHeight="false" outlineLevel="0" collapsed="false">
      <c r="A16" s="5" t="s">
        <v>35</v>
      </c>
      <c r="B16" s="5" t="n">
        <f aca="false">COUNTIF(Backend!$E$2:$E$500,A16)+COUNTIF(Frontend!$E$2:$E$500,A16)</f>
        <v>31</v>
      </c>
      <c r="C16" s="5" t="n">
        <f aca="false">COUNTIFS(Backend!$E$2:$E$500,A16,Backend!$H$2:$H$500,"Done")+COUNTIFS(Frontend!$E$2:$E$500,A16,Frontend!$I$2:$I$500,"Done")</f>
        <v>0</v>
      </c>
      <c r="D16" s="9" t="n">
        <f aca="false">IF(B16=0,0,C16/B16)</f>
        <v>0</v>
      </c>
    </row>
    <row r="17" customFormat="false" ht="15" hidden="false" customHeight="false" outlineLevel="0" collapsed="false">
      <c r="A17" s="5" t="s">
        <v>36</v>
      </c>
      <c r="B17" s="5" t="n">
        <f aca="false">COUNTIF(Backend!$E$2:$E$500,A17)+COUNTIF(Frontend!$E$2:$E$500,A17)</f>
        <v>15</v>
      </c>
      <c r="C17" s="5" t="n">
        <f aca="false">COUNTIFS(Backend!$E$2:$E$500,A17,Backend!$H$2:$H$500,"Done")+COUNTIFS(Frontend!$E$2:$E$500,A17,Frontend!$I$2:$I$500,"Done")</f>
        <v>0</v>
      </c>
      <c r="D17" s="9" t="n">
        <f aca="false">IF(B17=0,0,C17/B17)</f>
        <v>0</v>
      </c>
    </row>
    <row r="18" customFormat="false" ht="15" hidden="false" customHeight="false" outlineLevel="0" collapsed="false">
      <c r="A18" s="5" t="s">
        <v>37</v>
      </c>
      <c r="B18" s="5" t="n">
        <f aca="false">COUNTIF(Backend!$E$2:$E$500,A18)+COUNTIF(Frontend!$E$2:$E$500,A18)</f>
        <v>20</v>
      </c>
      <c r="C18" s="5" t="n">
        <f aca="false">COUNTIFS(Backend!$E$2:$E$500,A18,Backend!$H$2:$H$500,"Done")+COUNTIFS(Frontend!$E$2:$E$500,A18,Frontend!$I$2:$I$500,"Done")</f>
        <v>0</v>
      </c>
      <c r="D18" s="9" t="n">
        <f aca="false">IF(B18=0,0,C18/B18)</f>
        <v>0</v>
      </c>
    </row>
    <row r="19" customFormat="false" ht="15" hidden="false" customHeight="false" outlineLevel="0" collapsed="false">
      <c r="A19" s="5" t="s">
        <v>38</v>
      </c>
      <c r="B19" s="5" t="n">
        <f aca="false">COUNTIF(Backend!$E$2:$E$500,A19)+COUNTIF(Frontend!$E$2:$E$500,A19)</f>
        <v>13</v>
      </c>
      <c r="C19" s="5" t="n">
        <f aca="false">COUNTIFS(Backend!$E$2:$E$500,A19,Backend!$H$2:$H$500,"Done")+COUNTIFS(Frontend!$E$2:$E$500,A19,Frontend!$I$2:$I$500,"Done")</f>
        <v>0</v>
      </c>
      <c r="D19" s="9" t="n">
        <f aca="false">IF(B19=0,0,C19/B19)</f>
        <v>0</v>
      </c>
    </row>
    <row r="22" customFormat="false" ht="15" hidden="false" customHeight="false" outlineLevel="0" collapsed="false">
      <c r="A22" s="10" t="s">
        <v>39</v>
      </c>
      <c r="B22" s="10" t="n">
        <f aca="false">COUNTIF('Open Questions'!$F$2:$F$200,"Open")</f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58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10" min="9" style="0" width="12"/>
    <col collapsed="false" customWidth="true" hidden="false" outlineLevel="0" max="11" min="11" style="0" width="34"/>
  </cols>
  <sheetData>
    <row r="1" customFormat="false" ht="15" hidden="false" customHeight="false" outlineLevel="0" collapsed="false">
      <c r="A1" s="4" t="s">
        <v>40</v>
      </c>
      <c r="B1" s="4" t="s">
        <v>41</v>
      </c>
      <c r="C1" s="4" t="s">
        <v>42</v>
      </c>
      <c r="D1" s="4" t="s">
        <v>43</v>
      </c>
      <c r="E1" s="4" t="s">
        <v>32</v>
      </c>
      <c r="F1" s="4" t="s">
        <v>11</v>
      </c>
      <c r="G1" s="4" t="s">
        <v>44</v>
      </c>
      <c r="H1" s="4" t="s">
        <v>20</v>
      </c>
      <c r="I1" s="4" t="s">
        <v>45</v>
      </c>
      <c r="J1" s="4" t="s">
        <v>46</v>
      </c>
      <c r="K1" s="4" t="s">
        <v>47</v>
      </c>
    </row>
    <row r="2" customFormat="false" ht="15" hidden="false" customHeight="false" outlineLevel="0" collapsed="false">
      <c r="A2" s="11" t="s">
        <v>48</v>
      </c>
      <c r="B2" s="11" t="s">
        <v>49</v>
      </c>
      <c r="C2" s="11" t="s">
        <v>50</v>
      </c>
      <c r="D2" s="11" t="s">
        <v>51</v>
      </c>
      <c r="E2" s="11" t="s">
        <v>33</v>
      </c>
      <c r="F2" s="11" t="s">
        <v>52</v>
      </c>
      <c r="G2" s="12"/>
      <c r="H2" s="12" t="s">
        <v>24</v>
      </c>
      <c r="I2" s="13"/>
      <c r="J2" s="13"/>
      <c r="K2" s="12"/>
    </row>
    <row r="3" customFormat="false" ht="15" hidden="false" customHeight="false" outlineLevel="0" collapsed="false">
      <c r="A3" s="11" t="s">
        <v>53</v>
      </c>
      <c r="B3" s="11" t="s">
        <v>49</v>
      </c>
      <c r="C3" s="11" t="s">
        <v>54</v>
      </c>
      <c r="D3" s="11" t="s">
        <v>55</v>
      </c>
      <c r="E3" s="11" t="s">
        <v>33</v>
      </c>
      <c r="F3" s="11" t="s">
        <v>52</v>
      </c>
      <c r="G3" s="12"/>
      <c r="H3" s="12" t="s">
        <v>24</v>
      </c>
      <c r="I3" s="13"/>
      <c r="J3" s="13"/>
      <c r="K3" s="12" t="s">
        <v>56</v>
      </c>
    </row>
    <row r="4" customFormat="false" ht="15" hidden="false" customHeight="false" outlineLevel="0" collapsed="false">
      <c r="A4" s="11" t="s">
        <v>57</v>
      </c>
      <c r="B4" s="11" t="s">
        <v>49</v>
      </c>
      <c r="C4" s="11" t="s">
        <v>58</v>
      </c>
      <c r="D4" s="11" t="s">
        <v>59</v>
      </c>
      <c r="E4" s="11" t="s">
        <v>33</v>
      </c>
      <c r="F4" s="11" t="s">
        <v>52</v>
      </c>
      <c r="G4" s="12"/>
      <c r="H4" s="12" t="s">
        <v>24</v>
      </c>
      <c r="I4" s="13"/>
      <c r="J4" s="13"/>
      <c r="K4" s="12"/>
    </row>
    <row r="5" customFormat="false" ht="15" hidden="false" customHeight="false" outlineLevel="0" collapsed="false">
      <c r="A5" s="11" t="s">
        <v>60</v>
      </c>
      <c r="B5" s="11" t="s">
        <v>49</v>
      </c>
      <c r="C5" s="11" t="s">
        <v>61</v>
      </c>
      <c r="D5" s="11" t="s">
        <v>62</v>
      </c>
      <c r="E5" s="11" t="s">
        <v>33</v>
      </c>
      <c r="F5" s="11" t="s">
        <v>52</v>
      </c>
      <c r="G5" s="12"/>
      <c r="H5" s="12" t="s">
        <v>24</v>
      </c>
      <c r="I5" s="13"/>
      <c r="J5" s="13"/>
      <c r="K5" s="12" t="s">
        <v>63</v>
      </c>
    </row>
    <row r="6" customFormat="false" ht="15" hidden="false" customHeight="false" outlineLevel="0" collapsed="false">
      <c r="A6" s="11" t="s">
        <v>64</v>
      </c>
      <c r="B6" s="11" t="s">
        <v>49</v>
      </c>
      <c r="C6" s="11" t="s">
        <v>65</v>
      </c>
      <c r="D6" s="11" t="s">
        <v>66</v>
      </c>
      <c r="E6" s="11" t="s">
        <v>33</v>
      </c>
      <c r="F6" s="11" t="s">
        <v>67</v>
      </c>
      <c r="G6" s="12"/>
      <c r="H6" s="12" t="s">
        <v>24</v>
      </c>
      <c r="I6" s="13"/>
      <c r="J6" s="13"/>
      <c r="K6" s="12"/>
    </row>
    <row r="7" customFormat="false" ht="15" hidden="false" customHeight="false" outlineLevel="0" collapsed="false">
      <c r="A7" s="11" t="s">
        <v>68</v>
      </c>
      <c r="B7" s="11" t="s">
        <v>49</v>
      </c>
      <c r="C7" s="11" t="s">
        <v>69</v>
      </c>
      <c r="D7" s="11" t="s">
        <v>70</v>
      </c>
      <c r="E7" s="11" t="s">
        <v>33</v>
      </c>
      <c r="F7" s="11" t="s">
        <v>52</v>
      </c>
      <c r="G7" s="12"/>
      <c r="H7" s="12" t="s">
        <v>24</v>
      </c>
      <c r="I7" s="13"/>
      <c r="J7" s="13"/>
      <c r="K7" s="12"/>
    </row>
    <row r="8" customFormat="false" ht="15" hidden="false" customHeight="false" outlineLevel="0" collapsed="false">
      <c r="A8" s="11" t="s">
        <v>71</v>
      </c>
      <c r="B8" s="11" t="s">
        <v>49</v>
      </c>
      <c r="C8" s="11" t="s">
        <v>72</v>
      </c>
      <c r="D8" s="11" t="s">
        <v>73</v>
      </c>
      <c r="E8" s="11" t="s">
        <v>33</v>
      </c>
      <c r="F8" s="11" t="s">
        <v>67</v>
      </c>
      <c r="G8" s="12"/>
      <c r="H8" s="12" t="s">
        <v>24</v>
      </c>
      <c r="I8" s="13"/>
      <c r="J8" s="13"/>
      <c r="K8" s="12" t="s">
        <v>74</v>
      </c>
    </row>
    <row r="9" customFormat="false" ht="15" hidden="false" customHeight="false" outlineLevel="0" collapsed="false">
      <c r="A9" s="11" t="s">
        <v>75</v>
      </c>
      <c r="B9" s="11" t="s">
        <v>76</v>
      </c>
      <c r="C9" s="11" t="s">
        <v>77</v>
      </c>
      <c r="D9" s="11" t="s">
        <v>78</v>
      </c>
      <c r="E9" s="11" t="s">
        <v>34</v>
      </c>
      <c r="F9" s="11" t="s">
        <v>52</v>
      </c>
      <c r="G9" s="12"/>
      <c r="H9" s="12" t="s">
        <v>24</v>
      </c>
      <c r="I9" s="13"/>
      <c r="J9" s="13"/>
      <c r="K9" s="12" t="s">
        <v>79</v>
      </c>
    </row>
    <row r="10" customFormat="false" ht="15" hidden="false" customHeight="false" outlineLevel="0" collapsed="false">
      <c r="A10" s="11" t="s">
        <v>80</v>
      </c>
      <c r="B10" s="11" t="s">
        <v>76</v>
      </c>
      <c r="C10" s="11" t="s">
        <v>81</v>
      </c>
      <c r="D10" s="11" t="s">
        <v>78</v>
      </c>
      <c r="E10" s="11" t="s">
        <v>34</v>
      </c>
      <c r="F10" s="11" t="s">
        <v>52</v>
      </c>
      <c r="G10" s="12"/>
      <c r="H10" s="12" t="s">
        <v>24</v>
      </c>
      <c r="I10" s="13"/>
      <c r="J10" s="13"/>
      <c r="K10" s="12" t="s">
        <v>82</v>
      </c>
    </row>
    <row r="11" customFormat="false" ht="15" hidden="false" customHeight="false" outlineLevel="0" collapsed="false">
      <c r="A11" s="11" t="s">
        <v>83</v>
      </c>
      <c r="B11" s="11" t="s">
        <v>76</v>
      </c>
      <c r="C11" s="11" t="s">
        <v>84</v>
      </c>
      <c r="D11" s="11" t="s">
        <v>85</v>
      </c>
      <c r="E11" s="11" t="s">
        <v>34</v>
      </c>
      <c r="F11" s="11" t="s">
        <v>67</v>
      </c>
      <c r="G11" s="12"/>
      <c r="H11" s="12" t="s">
        <v>24</v>
      </c>
      <c r="I11" s="13"/>
      <c r="J11" s="13"/>
      <c r="K11" s="12"/>
    </row>
    <row r="12" customFormat="false" ht="15" hidden="false" customHeight="false" outlineLevel="0" collapsed="false">
      <c r="A12" s="11" t="s">
        <v>86</v>
      </c>
      <c r="B12" s="11" t="s">
        <v>76</v>
      </c>
      <c r="C12" s="11" t="s">
        <v>87</v>
      </c>
      <c r="D12" s="11" t="s">
        <v>88</v>
      </c>
      <c r="E12" s="11" t="s">
        <v>34</v>
      </c>
      <c r="F12" s="11" t="s">
        <v>52</v>
      </c>
      <c r="G12" s="12"/>
      <c r="H12" s="12" t="s">
        <v>24</v>
      </c>
      <c r="I12" s="13"/>
      <c r="J12" s="13"/>
      <c r="K12" s="12"/>
    </row>
    <row r="13" customFormat="false" ht="15" hidden="false" customHeight="false" outlineLevel="0" collapsed="false">
      <c r="A13" s="11" t="s">
        <v>89</v>
      </c>
      <c r="B13" s="11" t="s">
        <v>76</v>
      </c>
      <c r="C13" s="11" t="s">
        <v>90</v>
      </c>
      <c r="D13" s="11" t="s">
        <v>70</v>
      </c>
      <c r="E13" s="11" t="s">
        <v>34</v>
      </c>
      <c r="F13" s="11" t="s">
        <v>52</v>
      </c>
      <c r="G13" s="12"/>
      <c r="H13" s="12" t="s">
        <v>24</v>
      </c>
      <c r="I13" s="13"/>
      <c r="J13" s="13"/>
      <c r="K13" s="12" t="s">
        <v>91</v>
      </c>
    </row>
    <row r="14" customFormat="false" ht="15" hidden="false" customHeight="false" outlineLevel="0" collapsed="false">
      <c r="A14" s="11" t="s">
        <v>92</v>
      </c>
      <c r="B14" s="11" t="s">
        <v>76</v>
      </c>
      <c r="C14" s="11" t="s">
        <v>93</v>
      </c>
      <c r="D14" s="11" t="s">
        <v>94</v>
      </c>
      <c r="E14" s="11" t="s">
        <v>34</v>
      </c>
      <c r="F14" s="11" t="s">
        <v>67</v>
      </c>
      <c r="G14" s="12"/>
      <c r="H14" s="12" t="s">
        <v>24</v>
      </c>
      <c r="I14" s="13"/>
      <c r="J14" s="13"/>
      <c r="K14" s="12" t="s">
        <v>95</v>
      </c>
    </row>
    <row r="15" customFormat="false" ht="15" hidden="false" customHeight="false" outlineLevel="0" collapsed="false">
      <c r="A15" s="11" t="s">
        <v>96</v>
      </c>
      <c r="B15" s="11" t="s">
        <v>97</v>
      </c>
      <c r="C15" s="11" t="s">
        <v>98</v>
      </c>
      <c r="D15" s="11" t="s">
        <v>99</v>
      </c>
      <c r="E15" s="11" t="s">
        <v>34</v>
      </c>
      <c r="F15" s="11" t="s">
        <v>67</v>
      </c>
      <c r="G15" s="12"/>
      <c r="H15" s="12" t="s">
        <v>24</v>
      </c>
      <c r="I15" s="13"/>
      <c r="J15" s="13"/>
      <c r="K15" s="12"/>
    </row>
    <row r="16" customFormat="false" ht="15" hidden="false" customHeight="false" outlineLevel="0" collapsed="false">
      <c r="A16" s="11" t="s">
        <v>100</v>
      </c>
      <c r="B16" s="11" t="s">
        <v>101</v>
      </c>
      <c r="C16" s="11" t="s">
        <v>102</v>
      </c>
      <c r="D16" s="11" t="s">
        <v>103</v>
      </c>
      <c r="E16" s="11" t="s">
        <v>34</v>
      </c>
      <c r="F16" s="11" t="s">
        <v>52</v>
      </c>
      <c r="G16" s="12"/>
      <c r="H16" s="12" t="s">
        <v>24</v>
      </c>
      <c r="I16" s="13"/>
      <c r="J16" s="13"/>
      <c r="K16" s="12" t="s">
        <v>104</v>
      </c>
    </row>
    <row r="17" customFormat="false" ht="15" hidden="false" customHeight="false" outlineLevel="0" collapsed="false">
      <c r="A17" s="11" t="s">
        <v>105</v>
      </c>
      <c r="B17" s="11" t="s">
        <v>106</v>
      </c>
      <c r="C17" s="11" t="s">
        <v>107</v>
      </c>
      <c r="D17" s="11" t="s">
        <v>108</v>
      </c>
      <c r="E17" s="11" t="s">
        <v>34</v>
      </c>
      <c r="F17" s="11" t="s">
        <v>52</v>
      </c>
      <c r="G17" s="12"/>
      <c r="H17" s="12" t="s">
        <v>24</v>
      </c>
      <c r="I17" s="13"/>
      <c r="J17" s="13"/>
      <c r="K17" s="12"/>
    </row>
    <row r="18" customFormat="false" ht="15" hidden="false" customHeight="false" outlineLevel="0" collapsed="false">
      <c r="A18" s="11" t="s">
        <v>109</v>
      </c>
      <c r="B18" s="11" t="s">
        <v>110</v>
      </c>
      <c r="C18" s="11" t="s">
        <v>111</v>
      </c>
      <c r="D18" s="11" t="s">
        <v>112</v>
      </c>
      <c r="E18" s="11" t="s">
        <v>34</v>
      </c>
      <c r="F18" s="11" t="s">
        <v>52</v>
      </c>
      <c r="G18" s="12"/>
      <c r="H18" s="12" t="s">
        <v>24</v>
      </c>
      <c r="I18" s="13"/>
      <c r="J18" s="13"/>
      <c r="K18" s="12" t="s">
        <v>113</v>
      </c>
    </row>
    <row r="19" customFormat="false" ht="15" hidden="false" customHeight="false" outlineLevel="0" collapsed="false">
      <c r="A19" s="11" t="s">
        <v>114</v>
      </c>
      <c r="B19" s="11" t="s">
        <v>110</v>
      </c>
      <c r="C19" s="11" t="s">
        <v>115</v>
      </c>
      <c r="D19" s="11" t="s">
        <v>112</v>
      </c>
      <c r="E19" s="11" t="s">
        <v>34</v>
      </c>
      <c r="F19" s="11" t="s">
        <v>52</v>
      </c>
      <c r="G19" s="12"/>
      <c r="H19" s="12" t="s">
        <v>24</v>
      </c>
      <c r="I19" s="13"/>
      <c r="J19" s="13"/>
      <c r="K19" s="12"/>
    </row>
    <row r="20" customFormat="false" ht="15" hidden="false" customHeight="false" outlineLevel="0" collapsed="false">
      <c r="A20" s="11" t="s">
        <v>116</v>
      </c>
      <c r="B20" s="11" t="s">
        <v>110</v>
      </c>
      <c r="C20" s="11" t="s">
        <v>117</v>
      </c>
      <c r="D20" s="11" t="s">
        <v>118</v>
      </c>
      <c r="E20" s="11" t="s">
        <v>34</v>
      </c>
      <c r="F20" s="11" t="s">
        <v>52</v>
      </c>
      <c r="G20" s="12"/>
      <c r="H20" s="12" t="s">
        <v>24</v>
      </c>
      <c r="I20" s="13"/>
      <c r="J20" s="13"/>
      <c r="K20" s="12" t="s">
        <v>119</v>
      </c>
    </row>
    <row r="21" customFormat="false" ht="23.85" hidden="false" customHeight="false" outlineLevel="0" collapsed="false">
      <c r="A21" s="11" t="s">
        <v>120</v>
      </c>
      <c r="B21" s="11" t="s">
        <v>110</v>
      </c>
      <c r="C21" s="11" t="s">
        <v>121</v>
      </c>
      <c r="D21" s="11" t="s">
        <v>122</v>
      </c>
      <c r="E21" s="11" t="s">
        <v>34</v>
      </c>
      <c r="F21" s="11" t="s">
        <v>52</v>
      </c>
      <c r="G21" s="12"/>
      <c r="H21" s="12" t="s">
        <v>24</v>
      </c>
      <c r="I21" s="13"/>
      <c r="J21" s="13"/>
      <c r="K21" s="12"/>
    </row>
    <row r="22" customFormat="false" ht="23.85" hidden="false" customHeight="false" outlineLevel="0" collapsed="false">
      <c r="A22" s="11" t="s">
        <v>123</v>
      </c>
      <c r="B22" s="11" t="s">
        <v>124</v>
      </c>
      <c r="C22" s="11" t="s">
        <v>125</v>
      </c>
      <c r="D22" s="11" t="s">
        <v>126</v>
      </c>
      <c r="E22" s="11" t="s">
        <v>34</v>
      </c>
      <c r="F22" s="11" t="s">
        <v>52</v>
      </c>
      <c r="G22" s="12"/>
      <c r="H22" s="12" t="s">
        <v>24</v>
      </c>
      <c r="I22" s="13"/>
      <c r="J22" s="13"/>
      <c r="K22" s="12" t="s">
        <v>127</v>
      </c>
    </row>
    <row r="23" customFormat="false" ht="15" hidden="false" customHeight="false" outlineLevel="0" collapsed="false">
      <c r="A23" s="11" t="s">
        <v>128</v>
      </c>
      <c r="B23" s="11" t="s">
        <v>124</v>
      </c>
      <c r="C23" s="11" t="s">
        <v>129</v>
      </c>
      <c r="D23" s="11" t="s">
        <v>130</v>
      </c>
      <c r="E23" s="11" t="s">
        <v>37</v>
      </c>
      <c r="F23" s="11" t="s">
        <v>67</v>
      </c>
      <c r="G23" s="12"/>
      <c r="H23" s="12" t="s">
        <v>24</v>
      </c>
      <c r="I23" s="13"/>
      <c r="J23" s="13"/>
      <c r="K23" s="12" t="s">
        <v>131</v>
      </c>
    </row>
    <row r="24" customFormat="false" ht="15" hidden="false" customHeight="false" outlineLevel="0" collapsed="false">
      <c r="A24" s="11" t="s">
        <v>132</v>
      </c>
      <c r="B24" s="11" t="s">
        <v>133</v>
      </c>
      <c r="C24" s="11" t="s">
        <v>134</v>
      </c>
      <c r="D24" s="11" t="s">
        <v>135</v>
      </c>
      <c r="E24" s="11" t="s">
        <v>35</v>
      </c>
      <c r="F24" s="11" t="s">
        <v>52</v>
      </c>
      <c r="G24" s="12"/>
      <c r="H24" s="12" t="s">
        <v>24</v>
      </c>
      <c r="I24" s="13"/>
      <c r="J24" s="13"/>
      <c r="K24" s="12"/>
    </row>
    <row r="25" customFormat="false" ht="15" hidden="false" customHeight="false" outlineLevel="0" collapsed="false">
      <c r="A25" s="11" t="s">
        <v>136</v>
      </c>
      <c r="B25" s="11" t="s">
        <v>133</v>
      </c>
      <c r="C25" s="11" t="s">
        <v>137</v>
      </c>
      <c r="D25" s="11" t="s">
        <v>135</v>
      </c>
      <c r="E25" s="11" t="s">
        <v>35</v>
      </c>
      <c r="F25" s="11" t="s">
        <v>52</v>
      </c>
      <c r="G25" s="12"/>
      <c r="H25" s="12" t="s">
        <v>24</v>
      </c>
      <c r="I25" s="13"/>
      <c r="J25" s="13"/>
      <c r="K25" s="12"/>
    </row>
    <row r="26" customFormat="false" ht="15" hidden="false" customHeight="false" outlineLevel="0" collapsed="false">
      <c r="A26" s="11" t="s">
        <v>138</v>
      </c>
      <c r="B26" s="11" t="s">
        <v>139</v>
      </c>
      <c r="C26" s="11" t="s">
        <v>140</v>
      </c>
      <c r="D26" s="11" t="s">
        <v>141</v>
      </c>
      <c r="E26" s="11" t="s">
        <v>35</v>
      </c>
      <c r="F26" s="11" t="s">
        <v>52</v>
      </c>
      <c r="G26" s="12"/>
      <c r="H26" s="12" t="s">
        <v>24</v>
      </c>
      <c r="I26" s="13"/>
      <c r="J26" s="13"/>
      <c r="K26" s="12"/>
    </row>
    <row r="27" customFormat="false" ht="15" hidden="false" customHeight="false" outlineLevel="0" collapsed="false">
      <c r="A27" s="11" t="s">
        <v>142</v>
      </c>
      <c r="B27" s="11" t="s">
        <v>139</v>
      </c>
      <c r="C27" s="11" t="s">
        <v>143</v>
      </c>
      <c r="D27" s="11" t="s">
        <v>144</v>
      </c>
      <c r="E27" s="11" t="s">
        <v>35</v>
      </c>
      <c r="F27" s="11" t="s">
        <v>52</v>
      </c>
      <c r="G27" s="12"/>
      <c r="H27" s="12" t="s">
        <v>24</v>
      </c>
      <c r="I27" s="13"/>
      <c r="J27" s="13"/>
      <c r="K27" s="12" t="s">
        <v>145</v>
      </c>
    </row>
    <row r="28" customFormat="false" ht="15" hidden="false" customHeight="false" outlineLevel="0" collapsed="false">
      <c r="A28" s="11" t="s">
        <v>146</v>
      </c>
      <c r="B28" s="11" t="s">
        <v>147</v>
      </c>
      <c r="C28" s="11" t="s">
        <v>148</v>
      </c>
      <c r="D28" s="11" t="s">
        <v>149</v>
      </c>
      <c r="E28" s="11" t="s">
        <v>35</v>
      </c>
      <c r="F28" s="11" t="s">
        <v>52</v>
      </c>
      <c r="G28" s="12"/>
      <c r="H28" s="12" t="s">
        <v>24</v>
      </c>
      <c r="I28" s="13"/>
      <c r="J28" s="13"/>
      <c r="K28" s="12"/>
    </row>
    <row r="29" customFormat="false" ht="15" hidden="false" customHeight="false" outlineLevel="0" collapsed="false">
      <c r="A29" s="11" t="s">
        <v>150</v>
      </c>
      <c r="B29" s="11" t="s">
        <v>147</v>
      </c>
      <c r="C29" s="11" t="s">
        <v>151</v>
      </c>
      <c r="D29" s="11" t="s">
        <v>152</v>
      </c>
      <c r="E29" s="11" t="s">
        <v>35</v>
      </c>
      <c r="F29" s="11" t="s">
        <v>52</v>
      </c>
      <c r="G29" s="12"/>
      <c r="H29" s="12" t="s">
        <v>24</v>
      </c>
      <c r="I29" s="13"/>
      <c r="J29" s="13"/>
      <c r="K29" s="12" t="s">
        <v>153</v>
      </c>
    </row>
    <row r="30" customFormat="false" ht="15" hidden="false" customHeight="false" outlineLevel="0" collapsed="false">
      <c r="A30" s="11" t="s">
        <v>154</v>
      </c>
      <c r="B30" s="11" t="s">
        <v>147</v>
      </c>
      <c r="C30" s="11" t="s">
        <v>155</v>
      </c>
      <c r="D30" s="11" t="s">
        <v>135</v>
      </c>
      <c r="E30" s="11" t="s">
        <v>35</v>
      </c>
      <c r="F30" s="11" t="s">
        <v>52</v>
      </c>
      <c r="G30" s="12"/>
      <c r="H30" s="12" t="s">
        <v>24</v>
      </c>
      <c r="I30" s="13"/>
      <c r="J30" s="13"/>
      <c r="K30" s="12" t="s">
        <v>156</v>
      </c>
    </row>
    <row r="31" customFormat="false" ht="15" hidden="false" customHeight="false" outlineLevel="0" collapsed="false">
      <c r="A31" s="11" t="s">
        <v>157</v>
      </c>
      <c r="B31" s="11" t="s">
        <v>147</v>
      </c>
      <c r="C31" s="11" t="s">
        <v>158</v>
      </c>
      <c r="D31" s="11" t="s">
        <v>159</v>
      </c>
      <c r="E31" s="11" t="s">
        <v>35</v>
      </c>
      <c r="F31" s="11" t="s">
        <v>52</v>
      </c>
      <c r="G31" s="12"/>
      <c r="H31" s="12" t="s">
        <v>24</v>
      </c>
      <c r="I31" s="13"/>
      <c r="J31" s="13"/>
      <c r="K31" s="12" t="s">
        <v>160</v>
      </c>
    </row>
    <row r="32" customFormat="false" ht="15" hidden="false" customHeight="false" outlineLevel="0" collapsed="false">
      <c r="A32" s="11" t="s">
        <v>161</v>
      </c>
      <c r="B32" s="11" t="s">
        <v>147</v>
      </c>
      <c r="C32" s="11" t="s">
        <v>162</v>
      </c>
      <c r="D32" s="11" t="s">
        <v>163</v>
      </c>
      <c r="E32" s="11" t="s">
        <v>35</v>
      </c>
      <c r="F32" s="11" t="s">
        <v>52</v>
      </c>
      <c r="G32" s="12"/>
      <c r="H32" s="12" t="s">
        <v>24</v>
      </c>
      <c r="I32" s="13"/>
      <c r="J32" s="13"/>
      <c r="K32" s="12" t="s">
        <v>164</v>
      </c>
    </row>
    <row r="33" customFormat="false" ht="15" hidden="false" customHeight="false" outlineLevel="0" collapsed="false">
      <c r="A33" s="11" t="s">
        <v>165</v>
      </c>
      <c r="B33" s="11" t="s">
        <v>147</v>
      </c>
      <c r="C33" s="11" t="s">
        <v>166</v>
      </c>
      <c r="D33" s="11" t="s">
        <v>167</v>
      </c>
      <c r="E33" s="11" t="s">
        <v>35</v>
      </c>
      <c r="F33" s="11" t="s">
        <v>52</v>
      </c>
      <c r="G33" s="12"/>
      <c r="H33" s="12" t="s">
        <v>24</v>
      </c>
      <c r="I33" s="13"/>
      <c r="J33" s="13"/>
      <c r="K33" s="12" t="s">
        <v>168</v>
      </c>
    </row>
    <row r="34" customFormat="false" ht="15" hidden="false" customHeight="false" outlineLevel="0" collapsed="false">
      <c r="A34" s="11" t="s">
        <v>169</v>
      </c>
      <c r="B34" s="11" t="s">
        <v>170</v>
      </c>
      <c r="C34" s="11" t="s">
        <v>171</v>
      </c>
      <c r="D34" s="11" t="s">
        <v>172</v>
      </c>
      <c r="E34" s="11" t="s">
        <v>35</v>
      </c>
      <c r="F34" s="11" t="s">
        <v>52</v>
      </c>
      <c r="G34" s="12"/>
      <c r="H34" s="12" t="s">
        <v>24</v>
      </c>
      <c r="I34" s="13"/>
      <c r="J34" s="13"/>
      <c r="K34" s="12"/>
    </row>
    <row r="35" customFormat="false" ht="15" hidden="false" customHeight="false" outlineLevel="0" collapsed="false">
      <c r="A35" s="11" t="s">
        <v>173</v>
      </c>
      <c r="B35" s="11" t="s">
        <v>170</v>
      </c>
      <c r="C35" s="11" t="s">
        <v>174</v>
      </c>
      <c r="D35" s="11" t="s">
        <v>175</v>
      </c>
      <c r="E35" s="11" t="s">
        <v>35</v>
      </c>
      <c r="F35" s="11" t="s">
        <v>67</v>
      </c>
      <c r="G35" s="12"/>
      <c r="H35" s="12" t="s">
        <v>24</v>
      </c>
      <c r="I35" s="13"/>
      <c r="J35" s="13"/>
      <c r="K35" s="12" t="s">
        <v>176</v>
      </c>
    </row>
    <row r="36" customFormat="false" ht="15" hidden="false" customHeight="false" outlineLevel="0" collapsed="false">
      <c r="A36" s="11" t="s">
        <v>177</v>
      </c>
      <c r="B36" s="11" t="s">
        <v>170</v>
      </c>
      <c r="C36" s="11" t="s">
        <v>178</v>
      </c>
      <c r="D36" s="11" t="s">
        <v>179</v>
      </c>
      <c r="E36" s="11" t="s">
        <v>35</v>
      </c>
      <c r="F36" s="11" t="s">
        <v>52</v>
      </c>
      <c r="G36" s="12"/>
      <c r="H36" s="12" t="s">
        <v>24</v>
      </c>
      <c r="I36" s="13"/>
      <c r="J36" s="13"/>
      <c r="K36" s="12" t="s">
        <v>180</v>
      </c>
    </row>
    <row r="37" customFormat="false" ht="15" hidden="false" customHeight="false" outlineLevel="0" collapsed="false">
      <c r="A37" s="11" t="s">
        <v>181</v>
      </c>
      <c r="B37" s="11" t="s">
        <v>170</v>
      </c>
      <c r="C37" s="11" t="s">
        <v>182</v>
      </c>
      <c r="D37" s="11" t="s">
        <v>183</v>
      </c>
      <c r="E37" s="11" t="s">
        <v>35</v>
      </c>
      <c r="F37" s="11" t="s">
        <v>52</v>
      </c>
      <c r="G37" s="12"/>
      <c r="H37" s="12" t="s">
        <v>24</v>
      </c>
      <c r="I37" s="13"/>
      <c r="J37" s="13"/>
      <c r="K37" s="12"/>
    </row>
    <row r="38" customFormat="false" ht="15" hidden="false" customHeight="false" outlineLevel="0" collapsed="false">
      <c r="A38" s="11" t="s">
        <v>184</v>
      </c>
      <c r="B38" s="11" t="s">
        <v>170</v>
      </c>
      <c r="C38" s="11" t="s">
        <v>185</v>
      </c>
      <c r="D38" s="11" t="s">
        <v>186</v>
      </c>
      <c r="E38" s="11" t="s">
        <v>35</v>
      </c>
      <c r="F38" s="11" t="s">
        <v>52</v>
      </c>
      <c r="G38" s="12"/>
      <c r="H38" s="12" t="s">
        <v>24</v>
      </c>
      <c r="I38" s="13"/>
      <c r="J38" s="13"/>
      <c r="K38" s="12" t="s">
        <v>187</v>
      </c>
    </row>
    <row r="39" customFormat="false" ht="15" hidden="false" customHeight="false" outlineLevel="0" collapsed="false">
      <c r="A39" s="11" t="s">
        <v>188</v>
      </c>
      <c r="B39" s="11" t="s">
        <v>189</v>
      </c>
      <c r="C39" s="11" t="s">
        <v>190</v>
      </c>
      <c r="D39" s="11" t="s">
        <v>191</v>
      </c>
      <c r="E39" s="11" t="s">
        <v>35</v>
      </c>
      <c r="F39" s="11" t="s">
        <v>52</v>
      </c>
      <c r="G39" s="12"/>
      <c r="H39" s="12" t="s">
        <v>24</v>
      </c>
      <c r="I39" s="13"/>
      <c r="J39" s="13"/>
      <c r="K39" s="12"/>
    </row>
    <row r="40" customFormat="false" ht="15" hidden="false" customHeight="false" outlineLevel="0" collapsed="false">
      <c r="A40" s="11" t="s">
        <v>192</v>
      </c>
      <c r="B40" s="11" t="s">
        <v>189</v>
      </c>
      <c r="C40" s="11" t="s">
        <v>193</v>
      </c>
      <c r="D40" s="11" t="s">
        <v>194</v>
      </c>
      <c r="E40" s="11" t="s">
        <v>35</v>
      </c>
      <c r="F40" s="11" t="s">
        <v>52</v>
      </c>
      <c r="G40" s="12"/>
      <c r="H40" s="12" t="s">
        <v>24</v>
      </c>
      <c r="I40" s="13"/>
      <c r="J40" s="13"/>
      <c r="K40" s="12" t="s">
        <v>195</v>
      </c>
    </row>
    <row r="41" customFormat="false" ht="15" hidden="false" customHeight="false" outlineLevel="0" collapsed="false">
      <c r="A41" s="11" t="s">
        <v>196</v>
      </c>
      <c r="B41" s="11" t="s">
        <v>189</v>
      </c>
      <c r="C41" s="11" t="s">
        <v>197</v>
      </c>
      <c r="D41" s="11" t="s">
        <v>194</v>
      </c>
      <c r="E41" s="11" t="s">
        <v>36</v>
      </c>
      <c r="F41" s="11" t="s">
        <v>67</v>
      </c>
      <c r="G41" s="12"/>
      <c r="H41" s="12" t="s">
        <v>24</v>
      </c>
      <c r="I41" s="13"/>
      <c r="J41" s="13"/>
      <c r="K41" s="12" t="s">
        <v>198</v>
      </c>
    </row>
    <row r="42" customFormat="false" ht="15" hidden="false" customHeight="false" outlineLevel="0" collapsed="false">
      <c r="A42" s="11" t="s">
        <v>199</v>
      </c>
      <c r="B42" s="11" t="s">
        <v>189</v>
      </c>
      <c r="C42" s="11" t="s">
        <v>200</v>
      </c>
      <c r="D42" s="11" t="s">
        <v>191</v>
      </c>
      <c r="E42" s="11" t="s">
        <v>36</v>
      </c>
      <c r="F42" s="11" t="s">
        <v>67</v>
      </c>
      <c r="G42" s="12"/>
      <c r="H42" s="12" t="s">
        <v>24</v>
      </c>
      <c r="I42" s="13"/>
      <c r="J42" s="13"/>
      <c r="K42" s="12" t="s">
        <v>201</v>
      </c>
    </row>
    <row r="43" customFormat="false" ht="15" hidden="false" customHeight="false" outlineLevel="0" collapsed="false">
      <c r="A43" s="11" t="s">
        <v>202</v>
      </c>
      <c r="B43" s="11" t="s">
        <v>203</v>
      </c>
      <c r="C43" s="11" t="s">
        <v>204</v>
      </c>
      <c r="D43" s="11" t="s">
        <v>205</v>
      </c>
      <c r="E43" s="11" t="s">
        <v>36</v>
      </c>
      <c r="F43" s="11" t="s">
        <v>67</v>
      </c>
      <c r="G43" s="12"/>
      <c r="H43" s="12" t="s">
        <v>24</v>
      </c>
      <c r="I43" s="13"/>
      <c r="J43" s="13"/>
      <c r="K43" s="12" t="s">
        <v>206</v>
      </c>
    </row>
    <row r="44" customFormat="false" ht="15" hidden="false" customHeight="false" outlineLevel="0" collapsed="false">
      <c r="A44" s="11" t="s">
        <v>207</v>
      </c>
      <c r="B44" s="11" t="s">
        <v>208</v>
      </c>
      <c r="C44" s="11" t="s">
        <v>209</v>
      </c>
      <c r="D44" s="11" t="s">
        <v>210</v>
      </c>
      <c r="E44" s="11" t="s">
        <v>36</v>
      </c>
      <c r="F44" s="11" t="s">
        <v>52</v>
      </c>
      <c r="G44" s="12"/>
      <c r="H44" s="12" t="s">
        <v>24</v>
      </c>
      <c r="I44" s="13"/>
      <c r="J44" s="13"/>
      <c r="K44" s="12" t="s">
        <v>211</v>
      </c>
    </row>
    <row r="45" customFormat="false" ht="15" hidden="false" customHeight="false" outlineLevel="0" collapsed="false">
      <c r="A45" s="11" t="s">
        <v>212</v>
      </c>
      <c r="B45" s="11" t="s">
        <v>208</v>
      </c>
      <c r="C45" s="11" t="s">
        <v>213</v>
      </c>
      <c r="D45" s="11" t="s">
        <v>214</v>
      </c>
      <c r="E45" s="11" t="s">
        <v>36</v>
      </c>
      <c r="F45" s="11" t="s">
        <v>52</v>
      </c>
      <c r="G45" s="12"/>
      <c r="H45" s="12" t="s">
        <v>24</v>
      </c>
      <c r="I45" s="13"/>
      <c r="J45" s="13"/>
      <c r="K45" s="12" t="s">
        <v>215</v>
      </c>
    </row>
    <row r="46" customFormat="false" ht="15" hidden="false" customHeight="false" outlineLevel="0" collapsed="false">
      <c r="A46" s="11" t="s">
        <v>216</v>
      </c>
      <c r="B46" s="11" t="s">
        <v>208</v>
      </c>
      <c r="C46" s="11" t="s">
        <v>217</v>
      </c>
      <c r="D46" s="11" t="s">
        <v>214</v>
      </c>
      <c r="E46" s="11" t="s">
        <v>36</v>
      </c>
      <c r="F46" s="11" t="s">
        <v>52</v>
      </c>
      <c r="G46" s="12"/>
      <c r="H46" s="12" t="s">
        <v>24</v>
      </c>
      <c r="I46" s="13"/>
      <c r="J46" s="13"/>
      <c r="K46" s="12" t="s">
        <v>215</v>
      </c>
    </row>
    <row r="47" customFormat="false" ht="15" hidden="false" customHeight="false" outlineLevel="0" collapsed="false">
      <c r="A47" s="11" t="s">
        <v>218</v>
      </c>
      <c r="B47" s="11" t="s">
        <v>208</v>
      </c>
      <c r="C47" s="11" t="s">
        <v>219</v>
      </c>
      <c r="D47" s="11" t="s">
        <v>214</v>
      </c>
      <c r="E47" s="11" t="s">
        <v>36</v>
      </c>
      <c r="F47" s="11" t="s">
        <v>52</v>
      </c>
      <c r="G47" s="12"/>
      <c r="H47" s="12" t="s">
        <v>24</v>
      </c>
      <c r="I47" s="13"/>
      <c r="J47" s="13"/>
      <c r="K47" s="12" t="s">
        <v>195</v>
      </c>
    </row>
    <row r="48" customFormat="false" ht="15" hidden="false" customHeight="false" outlineLevel="0" collapsed="false">
      <c r="A48" s="11" t="s">
        <v>220</v>
      </c>
      <c r="B48" s="11" t="s">
        <v>208</v>
      </c>
      <c r="C48" s="11" t="s">
        <v>221</v>
      </c>
      <c r="D48" s="11" t="s">
        <v>222</v>
      </c>
      <c r="E48" s="11" t="s">
        <v>36</v>
      </c>
      <c r="F48" s="11" t="s">
        <v>223</v>
      </c>
      <c r="G48" s="12"/>
      <c r="H48" s="12" t="s">
        <v>24</v>
      </c>
      <c r="I48" s="13"/>
      <c r="J48" s="13"/>
      <c r="K48" s="12" t="s">
        <v>224</v>
      </c>
    </row>
    <row r="49" customFormat="false" ht="15" hidden="false" customHeight="false" outlineLevel="0" collapsed="false">
      <c r="A49" s="11" t="s">
        <v>225</v>
      </c>
      <c r="B49" s="11" t="s">
        <v>226</v>
      </c>
      <c r="C49" s="11" t="s">
        <v>227</v>
      </c>
      <c r="D49" s="11" t="s">
        <v>228</v>
      </c>
      <c r="E49" s="11" t="s">
        <v>36</v>
      </c>
      <c r="F49" s="11" t="s">
        <v>52</v>
      </c>
      <c r="G49" s="12"/>
      <c r="H49" s="12" t="s">
        <v>24</v>
      </c>
      <c r="I49" s="13"/>
      <c r="J49" s="13"/>
      <c r="K49" s="12" t="s">
        <v>229</v>
      </c>
    </row>
    <row r="50" customFormat="false" ht="15" hidden="false" customHeight="false" outlineLevel="0" collapsed="false">
      <c r="A50" s="11" t="s">
        <v>230</v>
      </c>
      <c r="B50" s="11" t="s">
        <v>231</v>
      </c>
      <c r="C50" s="11" t="s">
        <v>232</v>
      </c>
      <c r="D50" s="11" t="s">
        <v>233</v>
      </c>
      <c r="E50" s="11" t="s">
        <v>36</v>
      </c>
      <c r="F50" s="11" t="s">
        <v>67</v>
      </c>
      <c r="G50" s="12"/>
      <c r="H50" s="12" t="s">
        <v>24</v>
      </c>
      <c r="I50" s="13"/>
      <c r="J50" s="13"/>
      <c r="K50" s="12"/>
    </row>
    <row r="51" customFormat="false" ht="15" hidden="false" customHeight="false" outlineLevel="0" collapsed="false">
      <c r="A51" s="11" t="s">
        <v>234</v>
      </c>
      <c r="B51" s="11" t="s">
        <v>231</v>
      </c>
      <c r="C51" s="11" t="s">
        <v>235</v>
      </c>
      <c r="D51" s="11" t="s">
        <v>233</v>
      </c>
      <c r="E51" s="11" t="s">
        <v>36</v>
      </c>
      <c r="F51" s="11" t="s">
        <v>67</v>
      </c>
      <c r="G51" s="12"/>
      <c r="H51" s="12" t="s">
        <v>24</v>
      </c>
      <c r="I51" s="13"/>
      <c r="J51" s="13"/>
      <c r="K51" s="12" t="s">
        <v>236</v>
      </c>
    </row>
    <row r="52" customFormat="false" ht="15" hidden="false" customHeight="false" outlineLevel="0" collapsed="false">
      <c r="A52" s="11" t="s">
        <v>237</v>
      </c>
      <c r="B52" s="11" t="s">
        <v>238</v>
      </c>
      <c r="C52" s="11" t="s">
        <v>239</v>
      </c>
      <c r="D52" s="11" t="s">
        <v>240</v>
      </c>
      <c r="E52" s="11" t="s">
        <v>37</v>
      </c>
      <c r="F52" s="11" t="s">
        <v>223</v>
      </c>
      <c r="G52" s="12"/>
      <c r="H52" s="12" t="s">
        <v>24</v>
      </c>
      <c r="I52" s="13"/>
      <c r="J52" s="13"/>
      <c r="K52" s="12" t="s">
        <v>241</v>
      </c>
    </row>
    <row r="53" customFormat="false" ht="15" hidden="false" customHeight="false" outlineLevel="0" collapsed="false">
      <c r="A53" s="11" t="s">
        <v>242</v>
      </c>
      <c r="B53" s="11" t="s">
        <v>243</v>
      </c>
      <c r="C53" s="11" t="s">
        <v>244</v>
      </c>
      <c r="D53" s="11" t="s">
        <v>245</v>
      </c>
      <c r="E53" s="11" t="s">
        <v>37</v>
      </c>
      <c r="F53" s="11" t="s">
        <v>52</v>
      </c>
      <c r="G53" s="12"/>
      <c r="H53" s="12" t="s">
        <v>24</v>
      </c>
      <c r="I53" s="13"/>
      <c r="J53" s="13"/>
      <c r="K53" s="12"/>
    </row>
    <row r="54" customFormat="false" ht="15" hidden="false" customHeight="false" outlineLevel="0" collapsed="false">
      <c r="A54" s="11" t="s">
        <v>246</v>
      </c>
      <c r="B54" s="11" t="s">
        <v>243</v>
      </c>
      <c r="C54" s="11" t="s">
        <v>247</v>
      </c>
      <c r="D54" s="11" t="s">
        <v>248</v>
      </c>
      <c r="E54" s="11" t="s">
        <v>37</v>
      </c>
      <c r="F54" s="11" t="s">
        <v>52</v>
      </c>
      <c r="G54" s="12"/>
      <c r="H54" s="12" t="s">
        <v>24</v>
      </c>
      <c r="I54" s="13"/>
      <c r="J54" s="13"/>
      <c r="K54" s="12"/>
    </row>
    <row r="55" customFormat="false" ht="15" hidden="false" customHeight="false" outlineLevel="0" collapsed="false">
      <c r="A55" s="11" t="s">
        <v>249</v>
      </c>
      <c r="B55" s="11" t="s">
        <v>243</v>
      </c>
      <c r="C55" s="11" t="s">
        <v>250</v>
      </c>
      <c r="D55" s="11" t="s">
        <v>251</v>
      </c>
      <c r="E55" s="11" t="s">
        <v>37</v>
      </c>
      <c r="F55" s="11" t="s">
        <v>52</v>
      </c>
      <c r="G55" s="12"/>
      <c r="H55" s="12" t="s">
        <v>24</v>
      </c>
      <c r="I55" s="13"/>
      <c r="J55" s="13"/>
      <c r="K55" s="12" t="s">
        <v>252</v>
      </c>
    </row>
    <row r="56" customFormat="false" ht="15" hidden="false" customHeight="false" outlineLevel="0" collapsed="false">
      <c r="A56" s="11" t="s">
        <v>253</v>
      </c>
      <c r="B56" s="11" t="s">
        <v>243</v>
      </c>
      <c r="C56" s="11" t="s">
        <v>254</v>
      </c>
      <c r="D56" s="11" t="s">
        <v>255</v>
      </c>
      <c r="E56" s="11" t="s">
        <v>37</v>
      </c>
      <c r="F56" s="11" t="s">
        <v>52</v>
      </c>
      <c r="G56" s="12"/>
      <c r="H56" s="12" t="s">
        <v>24</v>
      </c>
      <c r="I56" s="13"/>
      <c r="J56" s="13"/>
      <c r="K56" s="12" t="s">
        <v>256</v>
      </c>
    </row>
    <row r="57" customFormat="false" ht="15" hidden="false" customHeight="false" outlineLevel="0" collapsed="false">
      <c r="A57" s="11" t="s">
        <v>257</v>
      </c>
      <c r="B57" s="11" t="s">
        <v>258</v>
      </c>
      <c r="C57" s="11" t="s">
        <v>259</v>
      </c>
      <c r="D57" s="11" t="s">
        <v>260</v>
      </c>
      <c r="E57" s="11" t="s">
        <v>37</v>
      </c>
      <c r="F57" s="11" t="s">
        <v>67</v>
      </c>
      <c r="G57" s="12"/>
      <c r="H57" s="12" t="s">
        <v>24</v>
      </c>
      <c r="I57" s="13"/>
      <c r="J57" s="13"/>
      <c r="K57" s="12" t="s">
        <v>261</v>
      </c>
    </row>
    <row r="58" customFormat="false" ht="15" hidden="false" customHeight="false" outlineLevel="0" collapsed="false">
      <c r="A58" s="11" t="s">
        <v>262</v>
      </c>
      <c r="B58" s="11" t="s">
        <v>263</v>
      </c>
      <c r="C58" s="11" t="s">
        <v>264</v>
      </c>
      <c r="D58" s="11" t="s">
        <v>265</v>
      </c>
      <c r="E58" s="11" t="s">
        <v>37</v>
      </c>
      <c r="F58" s="11" t="s">
        <v>52</v>
      </c>
      <c r="G58" s="12"/>
      <c r="H58" s="12" t="s">
        <v>24</v>
      </c>
      <c r="I58" s="13"/>
      <c r="J58" s="13"/>
      <c r="K58" s="12"/>
    </row>
    <row r="59" customFormat="false" ht="23.85" hidden="false" customHeight="false" outlineLevel="0" collapsed="false">
      <c r="A59" s="11" t="s">
        <v>266</v>
      </c>
      <c r="B59" s="11" t="s">
        <v>263</v>
      </c>
      <c r="C59" s="11" t="s">
        <v>267</v>
      </c>
      <c r="D59" s="11" t="s">
        <v>268</v>
      </c>
      <c r="E59" s="11" t="s">
        <v>37</v>
      </c>
      <c r="F59" s="11" t="s">
        <v>67</v>
      </c>
      <c r="G59" s="12"/>
      <c r="H59" s="12" t="s">
        <v>24</v>
      </c>
      <c r="I59" s="13"/>
      <c r="J59" s="13"/>
      <c r="K59" s="12"/>
    </row>
    <row r="60" customFormat="false" ht="15" hidden="false" customHeight="false" outlineLevel="0" collapsed="false">
      <c r="A60" s="11" t="s">
        <v>269</v>
      </c>
      <c r="B60" s="11" t="s">
        <v>263</v>
      </c>
      <c r="C60" s="11" t="s">
        <v>270</v>
      </c>
      <c r="D60" s="11" t="s">
        <v>271</v>
      </c>
      <c r="E60" s="11" t="s">
        <v>37</v>
      </c>
      <c r="F60" s="11" t="s">
        <v>67</v>
      </c>
      <c r="G60" s="12"/>
      <c r="H60" s="12" t="s">
        <v>24</v>
      </c>
      <c r="I60" s="13"/>
      <c r="J60" s="13"/>
      <c r="K60" s="12"/>
    </row>
    <row r="61" customFormat="false" ht="15" hidden="false" customHeight="false" outlineLevel="0" collapsed="false">
      <c r="A61" s="11" t="s">
        <v>272</v>
      </c>
      <c r="B61" s="11" t="s">
        <v>273</v>
      </c>
      <c r="C61" s="11" t="s">
        <v>274</v>
      </c>
      <c r="D61" s="11" t="s">
        <v>144</v>
      </c>
      <c r="E61" s="11" t="s">
        <v>34</v>
      </c>
      <c r="F61" s="11" t="s">
        <v>52</v>
      </c>
      <c r="G61" s="12"/>
      <c r="H61" s="12" t="s">
        <v>24</v>
      </c>
      <c r="I61" s="13"/>
      <c r="J61" s="13"/>
      <c r="K61" s="12" t="s">
        <v>275</v>
      </c>
    </row>
    <row r="62" customFormat="false" ht="15" hidden="false" customHeight="false" outlineLevel="0" collapsed="false">
      <c r="A62" s="11" t="s">
        <v>276</v>
      </c>
      <c r="B62" s="11" t="s">
        <v>277</v>
      </c>
      <c r="C62" s="11" t="s">
        <v>278</v>
      </c>
      <c r="D62" s="11" t="s">
        <v>144</v>
      </c>
      <c r="E62" s="11" t="s">
        <v>38</v>
      </c>
      <c r="F62" s="11" t="s">
        <v>52</v>
      </c>
      <c r="G62" s="12"/>
      <c r="H62" s="12" t="s">
        <v>24</v>
      </c>
      <c r="I62" s="13"/>
      <c r="J62" s="13"/>
      <c r="K62" s="12" t="s">
        <v>279</v>
      </c>
    </row>
    <row r="63" customFormat="false" ht="15" hidden="false" customHeight="false" outlineLevel="0" collapsed="false">
      <c r="A63" s="11" t="s">
        <v>280</v>
      </c>
      <c r="B63" s="11" t="s">
        <v>277</v>
      </c>
      <c r="C63" s="11" t="s">
        <v>281</v>
      </c>
      <c r="D63" s="11" t="s">
        <v>144</v>
      </c>
      <c r="E63" s="11" t="s">
        <v>38</v>
      </c>
      <c r="F63" s="11" t="s">
        <v>52</v>
      </c>
      <c r="G63" s="12"/>
      <c r="H63" s="12" t="s">
        <v>24</v>
      </c>
      <c r="I63" s="13"/>
      <c r="J63" s="13"/>
      <c r="K63" s="12" t="s">
        <v>282</v>
      </c>
    </row>
    <row r="64" customFormat="false" ht="15" hidden="false" customHeight="false" outlineLevel="0" collapsed="false">
      <c r="A64" s="11" t="s">
        <v>283</v>
      </c>
      <c r="B64" s="11" t="s">
        <v>284</v>
      </c>
      <c r="C64" s="11" t="s">
        <v>285</v>
      </c>
      <c r="D64" s="11" t="s">
        <v>286</v>
      </c>
      <c r="E64" s="11" t="s">
        <v>38</v>
      </c>
      <c r="F64" s="11" t="s">
        <v>52</v>
      </c>
      <c r="G64" s="12"/>
      <c r="H64" s="12" t="s">
        <v>24</v>
      </c>
      <c r="I64" s="13"/>
      <c r="J64" s="13"/>
      <c r="K64" s="12"/>
    </row>
    <row r="65" customFormat="false" ht="15" hidden="false" customHeight="false" outlineLevel="0" collapsed="false">
      <c r="A65" s="11" t="s">
        <v>287</v>
      </c>
      <c r="B65" s="11" t="s">
        <v>284</v>
      </c>
      <c r="C65" s="11" t="s">
        <v>288</v>
      </c>
      <c r="D65" s="11" t="s">
        <v>286</v>
      </c>
      <c r="E65" s="11" t="s">
        <v>38</v>
      </c>
      <c r="F65" s="11" t="s">
        <v>52</v>
      </c>
      <c r="G65" s="12"/>
      <c r="H65" s="12" t="s">
        <v>24</v>
      </c>
      <c r="I65" s="13"/>
      <c r="J65" s="13"/>
      <c r="K65" s="12"/>
    </row>
    <row r="66" customFormat="false" ht="15" hidden="false" customHeight="false" outlineLevel="0" collapsed="false">
      <c r="A66" s="11" t="s">
        <v>289</v>
      </c>
      <c r="B66" s="11" t="s">
        <v>284</v>
      </c>
      <c r="C66" s="11" t="s">
        <v>290</v>
      </c>
      <c r="D66" s="11" t="s">
        <v>144</v>
      </c>
      <c r="E66" s="11" t="s">
        <v>38</v>
      </c>
      <c r="F66" s="11" t="s">
        <v>67</v>
      </c>
      <c r="G66" s="12"/>
      <c r="H66" s="12" t="s">
        <v>24</v>
      </c>
      <c r="I66" s="13"/>
      <c r="J66" s="13"/>
      <c r="K66" s="12"/>
    </row>
    <row r="67" customFormat="false" ht="15" hidden="false" customHeight="false" outlineLevel="0" collapsed="false">
      <c r="A67" s="11" t="s">
        <v>291</v>
      </c>
      <c r="B67" s="11" t="s">
        <v>284</v>
      </c>
      <c r="C67" s="11" t="s">
        <v>292</v>
      </c>
      <c r="D67" s="11" t="s">
        <v>144</v>
      </c>
      <c r="E67" s="11" t="s">
        <v>38</v>
      </c>
      <c r="F67" s="11" t="s">
        <v>52</v>
      </c>
      <c r="G67" s="12"/>
      <c r="H67" s="12" t="s">
        <v>24</v>
      </c>
      <c r="I67" s="13"/>
      <c r="J67" s="13"/>
      <c r="K67" s="12" t="s">
        <v>293</v>
      </c>
    </row>
    <row r="68" customFormat="false" ht="15" hidden="false" customHeight="false" outlineLevel="0" collapsed="false">
      <c r="A68" s="11" t="s">
        <v>294</v>
      </c>
      <c r="B68" s="11" t="s">
        <v>295</v>
      </c>
      <c r="C68" s="11" t="s">
        <v>296</v>
      </c>
      <c r="D68" s="11" t="s">
        <v>144</v>
      </c>
      <c r="E68" s="11" t="s">
        <v>38</v>
      </c>
      <c r="F68" s="11" t="s">
        <v>67</v>
      </c>
      <c r="G68" s="12"/>
      <c r="H68" s="12" t="s">
        <v>24</v>
      </c>
      <c r="I68" s="13"/>
      <c r="J68" s="13"/>
      <c r="K68" s="12" t="s">
        <v>282</v>
      </c>
    </row>
  </sheetData>
  <autoFilter ref="A1:K68"/>
  <conditionalFormatting sqref="H2:H118">
    <cfRule type="cellIs" priority="2" operator="equal" aboveAverage="0" equalAverage="0" bottom="0" percent="0" rank="0" text="" dxfId="4">
      <formula>"Done"</formula>
    </cfRule>
    <cfRule type="cellIs" priority="3" operator="equal" aboveAverage="0" equalAverage="0" bottom="0" percent="0" rank="0" text="" dxfId="5">
      <formula>"In Progress"</formula>
    </cfRule>
    <cfRule type="cellIs" priority="4" operator="equal" aboveAverage="0" equalAverage="0" bottom="0" percent="0" rank="0" text="" dxfId="6">
      <formula>"Blocked"</formula>
    </cfRule>
  </conditionalFormatting>
  <dataValidations count="2">
    <dataValidation allowBlank="false" errorStyle="stop" operator="between" showDropDown="false" showErrorMessage="false" showInputMessage="false" sqref="H2:H118" type="list">
      <formula1>"Not Started,In Progress,In Review,Blocked,Done"</formula1>
      <formula2>0</formula2>
    </dataValidation>
    <dataValidation allowBlank="false" errorStyle="stop" operator="between" showDropDown="false" showErrorMessage="false" showInputMessage="false" sqref="F2:F118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58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1" min="10" style="0" width="12"/>
    <col collapsed="false" customWidth="true" hidden="false" outlineLevel="0" max="12" min="12" style="0" width="34"/>
  </cols>
  <sheetData>
    <row r="1" customFormat="false" ht="15" hidden="false" customHeight="false" outlineLevel="0" collapsed="false">
      <c r="A1" s="4" t="s">
        <v>40</v>
      </c>
      <c r="B1" s="4" t="s">
        <v>41</v>
      </c>
      <c r="C1" s="4" t="s">
        <v>42</v>
      </c>
      <c r="D1" s="4" t="s">
        <v>43</v>
      </c>
      <c r="E1" s="4" t="s">
        <v>32</v>
      </c>
      <c r="F1" s="4" t="s">
        <v>11</v>
      </c>
      <c r="G1" s="4" t="s">
        <v>297</v>
      </c>
      <c r="H1" s="4" t="s">
        <v>44</v>
      </c>
      <c r="I1" s="4" t="s">
        <v>20</v>
      </c>
      <c r="J1" s="4" t="s">
        <v>45</v>
      </c>
      <c r="K1" s="4" t="s">
        <v>46</v>
      </c>
      <c r="L1" s="4" t="s">
        <v>47</v>
      </c>
    </row>
    <row r="2" customFormat="false" ht="23.85" hidden="false" customHeight="false" outlineLevel="0" collapsed="false">
      <c r="A2" s="11" t="s">
        <v>298</v>
      </c>
      <c r="B2" s="11" t="s">
        <v>49</v>
      </c>
      <c r="C2" s="11" t="s">
        <v>299</v>
      </c>
      <c r="D2" s="11" t="s">
        <v>51</v>
      </c>
      <c r="E2" s="11" t="s">
        <v>33</v>
      </c>
      <c r="F2" s="11" t="s">
        <v>52</v>
      </c>
      <c r="G2" s="11" t="s">
        <v>300</v>
      </c>
      <c r="H2" s="12"/>
      <c r="I2" s="12" t="s">
        <v>24</v>
      </c>
      <c r="J2" s="13"/>
      <c r="K2" s="13"/>
      <c r="L2" s="12" t="s">
        <v>301</v>
      </c>
    </row>
    <row r="3" customFormat="false" ht="15" hidden="false" customHeight="false" outlineLevel="0" collapsed="false">
      <c r="A3" s="11" t="s">
        <v>302</v>
      </c>
      <c r="B3" s="11" t="s">
        <v>49</v>
      </c>
      <c r="C3" s="11" t="s">
        <v>303</v>
      </c>
      <c r="D3" s="11" t="s">
        <v>304</v>
      </c>
      <c r="E3" s="11" t="s">
        <v>33</v>
      </c>
      <c r="F3" s="11" t="s">
        <v>52</v>
      </c>
      <c r="G3" s="11" t="s">
        <v>305</v>
      </c>
      <c r="H3" s="12"/>
      <c r="I3" s="12" t="s">
        <v>24</v>
      </c>
      <c r="J3" s="13"/>
      <c r="K3" s="13"/>
      <c r="L3" s="12" t="s">
        <v>306</v>
      </c>
    </row>
    <row r="4" customFormat="false" ht="15" hidden="false" customHeight="false" outlineLevel="0" collapsed="false">
      <c r="A4" s="11" t="s">
        <v>307</v>
      </c>
      <c r="B4" s="11" t="s">
        <v>49</v>
      </c>
      <c r="C4" s="11" t="s">
        <v>308</v>
      </c>
      <c r="D4" s="11" t="s">
        <v>309</v>
      </c>
      <c r="E4" s="11" t="s">
        <v>33</v>
      </c>
      <c r="F4" s="11" t="s">
        <v>52</v>
      </c>
      <c r="G4" s="11" t="s">
        <v>310</v>
      </c>
      <c r="H4" s="12"/>
      <c r="I4" s="12" t="s">
        <v>24</v>
      </c>
      <c r="J4" s="13"/>
      <c r="K4" s="13"/>
      <c r="L4" s="12"/>
    </row>
    <row r="5" customFormat="false" ht="15" hidden="false" customHeight="false" outlineLevel="0" collapsed="false">
      <c r="A5" s="11" t="s">
        <v>311</v>
      </c>
      <c r="B5" s="11" t="s">
        <v>49</v>
      </c>
      <c r="C5" s="11" t="s">
        <v>312</v>
      </c>
      <c r="D5" s="11" t="s">
        <v>313</v>
      </c>
      <c r="E5" s="11" t="s">
        <v>33</v>
      </c>
      <c r="F5" s="11" t="s">
        <v>52</v>
      </c>
      <c r="G5" s="11" t="s">
        <v>310</v>
      </c>
      <c r="H5" s="12"/>
      <c r="I5" s="12" t="s">
        <v>24</v>
      </c>
      <c r="J5" s="13"/>
      <c r="K5" s="13"/>
      <c r="L5" s="12"/>
    </row>
    <row r="6" customFormat="false" ht="15" hidden="false" customHeight="false" outlineLevel="0" collapsed="false">
      <c r="A6" s="11" t="s">
        <v>314</v>
      </c>
      <c r="B6" s="11" t="s">
        <v>49</v>
      </c>
      <c r="C6" s="11" t="s">
        <v>315</v>
      </c>
      <c r="D6" s="11" t="s">
        <v>304</v>
      </c>
      <c r="E6" s="11" t="s">
        <v>33</v>
      </c>
      <c r="F6" s="11" t="s">
        <v>67</v>
      </c>
      <c r="G6" s="11" t="s">
        <v>310</v>
      </c>
      <c r="H6" s="12"/>
      <c r="I6" s="12" t="s">
        <v>24</v>
      </c>
      <c r="J6" s="13"/>
      <c r="K6" s="13"/>
      <c r="L6" s="12"/>
    </row>
    <row r="7" customFormat="false" ht="15" hidden="false" customHeight="false" outlineLevel="0" collapsed="false">
      <c r="A7" s="11" t="s">
        <v>316</v>
      </c>
      <c r="B7" s="11" t="s">
        <v>310</v>
      </c>
      <c r="C7" s="11" t="s">
        <v>317</v>
      </c>
      <c r="D7" s="11" t="s">
        <v>144</v>
      </c>
      <c r="E7" s="11" t="s">
        <v>34</v>
      </c>
      <c r="F7" s="11" t="s">
        <v>67</v>
      </c>
      <c r="G7" s="11" t="s">
        <v>310</v>
      </c>
      <c r="H7" s="12"/>
      <c r="I7" s="12" t="s">
        <v>24</v>
      </c>
      <c r="J7" s="13"/>
      <c r="K7" s="13"/>
      <c r="L7" s="12"/>
    </row>
    <row r="8" customFormat="false" ht="15" hidden="false" customHeight="false" outlineLevel="0" collapsed="false">
      <c r="A8" s="11" t="s">
        <v>318</v>
      </c>
      <c r="B8" s="11" t="s">
        <v>305</v>
      </c>
      <c r="C8" s="11" t="s">
        <v>319</v>
      </c>
      <c r="D8" s="11" t="s">
        <v>78</v>
      </c>
      <c r="E8" s="11" t="s">
        <v>34</v>
      </c>
      <c r="F8" s="11" t="s">
        <v>52</v>
      </c>
      <c r="G8" s="11" t="s">
        <v>305</v>
      </c>
      <c r="H8" s="12"/>
      <c r="I8" s="12" t="s">
        <v>24</v>
      </c>
      <c r="J8" s="13"/>
      <c r="K8" s="13"/>
      <c r="L8" s="12"/>
    </row>
    <row r="9" customFormat="false" ht="15" hidden="false" customHeight="false" outlineLevel="0" collapsed="false">
      <c r="A9" s="11" t="s">
        <v>320</v>
      </c>
      <c r="B9" s="11" t="s">
        <v>305</v>
      </c>
      <c r="C9" s="11" t="s">
        <v>321</v>
      </c>
      <c r="D9" s="11" t="s">
        <v>103</v>
      </c>
      <c r="E9" s="11" t="s">
        <v>34</v>
      </c>
      <c r="F9" s="11" t="s">
        <v>52</v>
      </c>
      <c r="G9" s="11" t="s">
        <v>305</v>
      </c>
      <c r="H9" s="12"/>
      <c r="I9" s="12" t="s">
        <v>24</v>
      </c>
      <c r="J9" s="13"/>
      <c r="K9" s="13"/>
      <c r="L9" s="12" t="s">
        <v>322</v>
      </c>
    </row>
    <row r="10" customFormat="false" ht="15" hidden="false" customHeight="false" outlineLevel="0" collapsed="false">
      <c r="A10" s="11" t="s">
        <v>323</v>
      </c>
      <c r="B10" s="11" t="s">
        <v>305</v>
      </c>
      <c r="C10" s="11" t="s">
        <v>324</v>
      </c>
      <c r="D10" s="11" t="s">
        <v>108</v>
      </c>
      <c r="E10" s="11" t="s">
        <v>34</v>
      </c>
      <c r="F10" s="11" t="s">
        <v>52</v>
      </c>
      <c r="G10" s="11" t="s">
        <v>305</v>
      </c>
      <c r="H10" s="12"/>
      <c r="I10" s="12" t="s">
        <v>24</v>
      </c>
      <c r="J10" s="13"/>
      <c r="K10" s="13"/>
      <c r="L10" s="12" t="s">
        <v>325</v>
      </c>
    </row>
    <row r="11" customFormat="false" ht="15" hidden="false" customHeight="false" outlineLevel="0" collapsed="false">
      <c r="A11" s="11" t="s">
        <v>326</v>
      </c>
      <c r="B11" s="11" t="s">
        <v>305</v>
      </c>
      <c r="C11" s="11" t="s">
        <v>327</v>
      </c>
      <c r="D11" s="11" t="s">
        <v>141</v>
      </c>
      <c r="E11" s="11" t="s">
        <v>35</v>
      </c>
      <c r="F11" s="11" t="s">
        <v>52</v>
      </c>
      <c r="G11" s="11" t="s">
        <v>305</v>
      </c>
      <c r="H11" s="12"/>
      <c r="I11" s="12" t="s">
        <v>24</v>
      </c>
      <c r="J11" s="13"/>
      <c r="K11" s="13"/>
      <c r="L11" s="12"/>
    </row>
    <row r="12" customFormat="false" ht="15" hidden="false" customHeight="false" outlineLevel="0" collapsed="false">
      <c r="A12" s="11" t="s">
        <v>328</v>
      </c>
      <c r="B12" s="11" t="s">
        <v>305</v>
      </c>
      <c r="C12" s="11" t="s">
        <v>329</v>
      </c>
      <c r="D12" s="11" t="s">
        <v>122</v>
      </c>
      <c r="E12" s="11" t="s">
        <v>35</v>
      </c>
      <c r="F12" s="11" t="s">
        <v>52</v>
      </c>
      <c r="G12" s="11" t="s">
        <v>305</v>
      </c>
      <c r="H12" s="12"/>
      <c r="I12" s="12" t="s">
        <v>24</v>
      </c>
      <c r="J12" s="13"/>
      <c r="K12" s="13"/>
      <c r="L12" s="12"/>
    </row>
    <row r="13" customFormat="false" ht="15" hidden="false" customHeight="false" outlineLevel="0" collapsed="false">
      <c r="A13" s="11" t="s">
        <v>330</v>
      </c>
      <c r="B13" s="11" t="s">
        <v>305</v>
      </c>
      <c r="C13" s="11" t="s">
        <v>331</v>
      </c>
      <c r="D13" s="11" t="s">
        <v>149</v>
      </c>
      <c r="E13" s="11" t="s">
        <v>35</v>
      </c>
      <c r="F13" s="11" t="s">
        <v>52</v>
      </c>
      <c r="G13" s="11" t="s">
        <v>305</v>
      </c>
      <c r="H13" s="12"/>
      <c r="I13" s="12" t="s">
        <v>24</v>
      </c>
      <c r="J13" s="13"/>
      <c r="K13" s="13"/>
      <c r="L13" s="12"/>
    </row>
    <row r="14" customFormat="false" ht="15" hidden="false" customHeight="false" outlineLevel="0" collapsed="false">
      <c r="A14" s="11" t="s">
        <v>332</v>
      </c>
      <c r="B14" s="11" t="s">
        <v>305</v>
      </c>
      <c r="C14" s="11" t="s">
        <v>333</v>
      </c>
      <c r="D14" s="11" t="s">
        <v>159</v>
      </c>
      <c r="E14" s="11" t="s">
        <v>35</v>
      </c>
      <c r="F14" s="11" t="s">
        <v>52</v>
      </c>
      <c r="G14" s="11" t="s">
        <v>305</v>
      </c>
      <c r="H14" s="12"/>
      <c r="I14" s="12" t="s">
        <v>24</v>
      </c>
      <c r="J14" s="13"/>
      <c r="K14" s="13"/>
      <c r="L14" s="12"/>
    </row>
    <row r="15" customFormat="false" ht="15" hidden="false" customHeight="false" outlineLevel="0" collapsed="false">
      <c r="A15" s="11" t="s">
        <v>334</v>
      </c>
      <c r="B15" s="11" t="s">
        <v>305</v>
      </c>
      <c r="C15" s="11" t="s">
        <v>335</v>
      </c>
      <c r="D15" s="11" t="s">
        <v>175</v>
      </c>
      <c r="E15" s="11" t="s">
        <v>35</v>
      </c>
      <c r="F15" s="11" t="s">
        <v>52</v>
      </c>
      <c r="G15" s="11" t="s">
        <v>305</v>
      </c>
      <c r="H15" s="12"/>
      <c r="I15" s="12" t="s">
        <v>24</v>
      </c>
      <c r="J15" s="13"/>
      <c r="K15" s="13"/>
      <c r="L15" s="12"/>
    </row>
    <row r="16" customFormat="false" ht="15" hidden="false" customHeight="false" outlineLevel="0" collapsed="false">
      <c r="A16" s="11" t="s">
        <v>336</v>
      </c>
      <c r="B16" s="11" t="s">
        <v>305</v>
      </c>
      <c r="C16" s="11" t="s">
        <v>337</v>
      </c>
      <c r="D16" s="11" t="s">
        <v>251</v>
      </c>
      <c r="E16" s="11" t="s">
        <v>35</v>
      </c>
      <c r="F16" s="11" t="s">
        <v>52</v>
      </c>
      <c r="G16" s="11" t="s">
        <v>305</v>
      </c>
      <c r="H16" s="12"/>
      <c r="I16" s="12" t="s">
        <v>24</v>
      </c>
      <c r="J16" s="13"/>
      <c r="K16" s="13"/>
      <c r="L16" s="12"/>
    </row>
    <row r="17" customFormat="false" ht="15" hidden="false" customHeight="false" outlineLevel="0" collapsed="false">
      <c r="A17" s="11" t="s">
        <v>338</v>
      </c>
      <c r="B17" s="11" t="s">
        <v>305</v>
      </c>
      <c r="C17" s="11" t="s">
        <v>339</v>
      </c>
      <c r="D17" s="11" t="s">
        <v>167</v>
      </c>
      <c r="E17" s="11" t="s">
        <v>35</v>
      </c>
      <c r="F17" s="11" t="s">
        <v>52</v>
      </c>
      <c r="G17" s="11" t="s">
        <v>305</v>
      </c>
      <c r="H17" s="12"/>
      <c r="I17" s="12" t="s">
        <v>24</v>
      </c>
      <c r="J17" s="13"/>
      <c r="K17" s="13"/>
      <c r="L17" s="12" t="s">
        <v>340</v>
      </c>
    </row>
    <row r="18" customFormat="false" ht="15" hidden="false" customHeight="false" outlineLevel="0" collapsed="false">
      <c r="A18" s="11" t="s">
        <v>341</v>
      </c>
      <c r="B18" s="11" t="s">
        <v>305</v>
      </c>
      <c r="C18" s="11" t="s">
        <v>342</v>
      </c>
      <c r="D18" s="11" t="s">
        <v>343</v>
      </c>
      <c r="E18" s="11" t="s">
        <v>35</v>
      </c>
      <c r="F18" s="11" t="s">
        <v>67</v>
      </c>
      <c r="G18" s="11" t="s">
        <v>305</v>
      </c>
      <c r="H18" s="12"/>
      <c r="I18" s="12" t="s">
        <v>24</v>
      </c>
      <c r="J18" s="13"/>
      <c r="K18" s="13"/>
      <c r="L18" s="12"/>
    </row>
    <row r="19" customFormat="false" ht="15" hidden="false" customHeight="false" outlineLevel="0" collapsed="false">
      <c r="A19" s="11" t="s">
        <v>344</v>
      </c>
      <c r="B19" s="11" t="s">
        <v>305</v>
      </c>
      <c r="C19" s="11" t="s">
        <v>345</v>
      </c>
      <c r="D19" s="11" t="s">
        <v>191</v>
      </c>
      <c r="E19" s="11" t="s">
        <v>35</v>
      </c>
      <c r="F19" s="11" t="s">
        <v>67</v>
      </c>
      <c r="G19" s="11" t="s">
        <v>305</v>
      </c>
      <c r="H19" s="12"/>
      <c r="I19" s="12" t="s">
        <v>24</v>
      </c>
      <c r="J19" s="13"/>
      <c r="K19" s="13"/>
      <c r="L19" s="12"/>
    </row>
    <row r="20" customFormat="false" ht="15" hidden="false" customHeight="false" outlineLevel="0" collapsed="false">
      <c r="A20" s="11" t="s">
        <v>346</v>
      </c>
      <c r="B20" s="11" t="s">
        <v>305</v>
      </c>
      <c r="C20" s="11" t="s">
        <v>347</v>
      </c>
      <c r="D20" s="11" t="s">
        <v>210</v>
      </c>
      <c r="E20" s="11" t="s">
        <v>36</v>
      </c>
      <c r="F20" s="11" t="s">
        <v>52</v>
      </c>
      <c r="G20" s="11" t="s">
        <v>305</v>
      </c>
      <c r="H20" s="12"/>
      <c r="I20" s="12" t="s">
        <v>24</v>
      </c>
      <c r="J20" s="13"/>
      <c r="K20" s="13"/>
      <c r="L20" s="12"/>
    </row>
    <row r="21" customFormat="false" ht="15" hidden="false" customHeight="false" outlineLevel="0" collapsed="false">
      <c r="A21" s="11" t="s">
        <v>348</v>
      </c>
      <c r="B21" s="11" t="s">
        <v>305</v>
      </c>
      <c r="C21" s="11" t="s">
        <v>349</v>
      </c>
      <c r="D21" s="11" t="s">
        <v>205</v>
      </c>
      <c r="E21" s="11" t="s">
        <v>36</v>
      </c>
      <c r="F21" s="11" t="s">
        <v>67</v>
      </c>
      <c r="G21" s="11" t="s">
        <v>305</v>
      </c>
      <c r="H21" s="12"/>
      <c r="I21" s="12" t="s">
        <v>24</v>
      </c>
      <c r="J21" s="13"/>
      <c r="K21" s="13"/>
      <c r="L21" s="12"/>
    </row>
    <row r="22" customFormat="false" ht="15" hidden="false" customHeight="false" outlineLevel="0" collapsed="false">
      <c r="A22" s="11" t="s">
        <v>350</v>
      </c>
      <c r="B22" s="11" t="s">
        <v>305</v>
      </c>
      <c r="C22" s="11" t="s">
        <v>351</v>
      </c>
      <c r="D22" s="11" t="s">
        <v>245</v>
      </c>
      <c r="E22" s="11" t="s">
        <v>37</v>
      </c>
      <c r="F22" s="11" t="s">
        <v>52</v>
      </c>
      <c r="G22" s="11" t="s">
        <v>305</v>
      </c>
      <c r="H22" s="12"/>
      <c r="I22" s="12" t="s">
        <v>24</v>
      </c>
      <c r="J22" s="13"/>
      <c r="K22" s="13"/>
      <c r="L22" s="12"/>
    </row>
    <row r="23" customFormat="false" ht="15" hidden="false" customHeight="false" outlineLevel="0" collapsed="false">
      <c r="A23" s="11" t="s">
        <v>352</v>
      </c>
      <c r="B23" s="11" t="s">
        <v>305</v>
      </c>
      <c r="C23" s="11" t="s">
        <v>353</v>
      </c>
      <c r="D23" s="11" t="s">
        <v>251</v>
      </c>
      <c r="E23" s="11" t="s">
        <v>37</v>
      </c>
      <c r="F23" s="11" t="s">
        <v>52</v>
      </c>
      <c r="G23" s="11" t="s">
        <v>305</v>
      </c>
      <c r="H23" s="12"/>
      <c r="I23" s="12" t="s">
        <v>24</v>
      </c>
      <c r="J23" s="13"/>
      <c r="K23" s="13"/>
      <c r="L23" s="12"/>
    </row>
    <row r="24" customFormat="false" ht="15" hidden="false" customHeight="false" outlineLevel="0" collapsed="false">
      <c r="A24" s="11" t="s">
        <v>354</v>
      </c>
      <c r="B24" s="11" t="s">
        <v>305</v>
      </c>
      <c r="C24" s="11" t="s">
        <v>355</v>
      </c>
      <c r="D24" s="11" t="s">
        <v>304</v>
      </c>
      <c r="E24" s="11" t="s">
        <v>38</v>
      </c>
      <c r="F24" s="11" t="s">
        <v>67</v>
      </c>
      <c r="G24" s="11" t="s">
        <v>305</v>
      </c>
      <c r="H24" s="12"/>
      <c r="I24" s="12" t="s">
        <v>24</v>
      </c>
      <c r="J24" s="13"/>
      <c r="K24" s="13"/>
      <c r="L24" s="12"/>
    </row>
    <row r="25" customFormat="false" ht="15" hidden="false" customHeight="false" outlineLevel="0" collapsed="false">
      <c r="A25" s="11" t="s">
        <v>356</v>
      </c>
      <c r="B25" s="11" t="s">
        <v>110</v>
      </c>
      <c r="C25" s="11" t="s">
        <v>357</v>
      </c>
      <c r="D25" s="11" t="s">
        <v>112</v>
      </c>
      <c r="E25" s="11" t="s">
        <v>34</v>
      </c>
      <c r="F25" s="11" t="s">
        <v>52</v>
      </c>
      <c r="G25" s="11" t="s">
        <v>110</v>
      </c>
      <c r="H25" s="12"/>
      <c r="I25" s="12" t="s">
        <v>24</v>
      </c>
      <c r="J25" s="13"/>
      <c r="K25" s="13"/>
      <c r="L25" s="12"/>
    </row>
    <row r="26" customFormat="false" ht="15" hidden="false" customHeight="false" outlineLevel="0" collapsed="false">
      <c r="A26" s="11" t="s">
        <v>358</v>
      </c>
      <c r="B26" s="11" t="s">
        <v>110</v>
      </c>
      <c r="C26" s="11" t="s">
        <v>359</v>
      </c>
      <c r="D26" s="11" t="s">
        <v>360</v>
      </c>
      <c r="E26" s="11" t="s">
        <v>34</v>
      </c>
      <c r="F26" s="11" t="s">
        <v>52</v>
      </c>
      <c r="G26" s="11" t="s">
        <v>110</v>
      </c>
      <c r="H26" s="12"/>
      <c r="I26" s="12" t="s">
        <v>24</v>
      </c>
      <c r="J26" s="13"/>
      <c r="K26" s="13"/>
      <c r="L26" s="12"/>
    </row>
    <row r="27" customFormat="false" ht="15" hidden="false" customHeight="false" outlineLevel="0" collapsed="false">
      <c r="A27" s="11" t="s">
        <v>361</v>
      </c>
      <c r="B27" s="11" t="s">
        <v>110</v>
      </c>
      <c r="C27" s="11" t="s">
        <v>362</v>
      </c>
      <c r="D27" s="11" t="s">
        <v>118</v>
      </c>
      <c r="E27" s="11" t="s">
        <v>34</v>
      </c>
      <c r="F27" s="11" t="s">
        <v>52</v>
      </c>
      <c r="G27" s="11" t="s">
        <v>110</v>
      </c>
      <c r="H27" s="12"/>
      <c r="I27" s="12" t="s">
        <v>24</v>
      </c>
      <c r="J27" s="13"/>
      <c r="K27" s="13"/>
      <c r="L27" s="12"/>
    </row>
    <row r="28" customFormat="false" ht="15" hidden="false" customHeight="false" outlineLevel="0" collapsed="false">
      <c r="A28" s="11" t="s">
        <v>363</v>
      </c>
      <c r="B28" s="11" t="s">
        <v>110</v>
      </c>
      <c r="C28" s="11" t="s">
        <v>364</v>
      </c>
      <c r="D28" s="11" t="s">
        <v>135</v>
      </c>
      <c r="E28" s="11" t="s">
        <v>35</v>
      </c>
      <c r="F28" s="11" t="s">
        <v>52</v>
      </c>
      <c r="G28" s="11" t="s">
        <v>110</v>
      </c>
      <c r="H28" s="12"/>
      <c r="I28" s="12" t="s">
        <v>24</v>
      </c>
      <c r="J28" s="13"/>
      <c r="K28" s="13"/>
      <c r="L28" s="12"/>
    </row>
    <row r="29" customFormat="false" ht="15" hidden="false" customHeight="false" outlineLevel="0" collapsed="false">
      <c r="A29" s="11" t="s">
        <v>365</v>
      </c>
      <c r="B29" s="11" t="s">
        <v>110</v>
      </c>
      <c r="C29" s="11" t="s">
        <v>366</v>
      </c>
      <c r="D29" s="11" t="s">
        <v>163</v>
      </c>
      <c r="E29" s="11" t="s">
        <v>35</v>
      </c>
      <c r="F29" s="11" t="s">
        <v>52</v>
      </c>
      <c r="G29" s="11" t="s">
        <v>110</v>
      </c>
      <c r="H29" s="12"/>
      <c r="I29" s="12" t="s">
        <v>24</v>
      </c>
      <c r="J29" s="13"/>
      <c r="K29" s="13"/>
      <c r="L29" s="12"/>
    </row>
    <row r="30" customFormat="false" ht="15" hidden="false" customHeight="false" outlineLevel="0" collapsed="false">
      <c r="A30" s="11" t="s">
        <v>367</v>
      </c>
      <c r="B30" s="11" t="s">
        <v>110</v>
      </c>
      <c r="C30" s="11" t="s">
        <v>368</v>
      </c>
      <c r="D30" s="11" t="s">
        <v>186</v>
      </c>
      <c r="E30" s="11" t="s">
        <v>35</v>
      </c>
      <c r="F30" s="11" t="s">
        <v>52</v>
      </c>
      <c r="G30" s="11" t="s">
        <v>110</v>
      </c>
      <c r="H30" s="12"/>
      <c r="I30" s="12" t="s">
        <v>24</v>
      </c>
      <c r="J30" s="13"/>
      <c r="K30" s="13"/>
      <c r="L30" s="12"/>
    </row>
    <row r="31" customFormat="false" ht="15" hidden="false" customHeight="false" outlineLevel="0" collapsed="false">
      <c r="A31" s="11" t="s">
        <v>369</v>
      </c>
      <c r="B31" s="11" t="s">
        <v>110</v>
      </c>
      <c r="C31" s="11" t="s">
        <v>370</v>
      </c>
      <c r="D31" s="11" t="s">
        <v>179</v>
      </c>
      <c r="E31" s="11" t="s">
        <v>35</v>
      </c>
      <c r="F31" s="11" t="s">
        <v>52</v>
      </c>
      <c r="G31" s="11" t="s">
        <v>110</v>
      </c>
      <c r="H31" s="12"/>
      <c r="I31" s="12" t="s">
        <v>24</v>
      </c>
      <c r="J31" s="13"/>
      <c r="K31" s="13"/>
      <c r="L31" s="12"/>
    </row>
    <row r="32" customFormat="false" ht="15" hidden="false" customHeight="false" outlineLevel="0" collapsed="false">
      <c r="A32" s="11" t="s">
        <v>371</v>
      </c>
      <c r="B32" s="11" t="s">
        <v>110</v>
      </c>
      <c r="C32" s="11" t="s">
        <v>372</v>
      </c>
      <c r="D32" s="11" t="s">
        <v>373</v>
      </c>
      <c r="E32" s="11" t="s">
        <v>35</v>
      </c>
      <c r="F32" s="11" t="s">
        <v>52</v>
      </c>
      <c r="G32" s="11" t="s">
        <v>110</v>
      </c>
      <c r="H32" s="12"/>
      <c r="I32" s="12" t="s">
        <v>24</v>
      </c>
      <c r="J32" s="13"/>
      <c r="K32" s="13"/>
      <c r="L32" s="12"/>
    </row>
    <row r="33" customFormat="false" ht="15" hidden="false" customHeight="false" outlineLevel="0" collapsed="false">
      <c r="A33" s="11" t="s">
        <v>374</v>
      </c>
      <c r="B33" s="11" t="s">
        <v>110</v>
      </c>
      <c r="C33" s="11" t="s">
        <v>375</v>
      </c>
      <c r="D33" s="11" t="s">
        <v>233</v>
      </c>
      <c r="E33" s="11" t="s">
        <v>36</v>
      </c>
      <c r="F33" s="11" t="s">
        <v>67</v>
      </c>
      <c r="G33" s="11" t="s">
        <v>110</v>
      </c>
      <c r="H33" s="12"/>
      <c r="I33" s="12" t="s">
        <v>24</v>
      </c>
      <c r="J33" s="13"/>
      <c r="K33" s="13"/>
      <c r="L33" s="12"/>
    </row>
    <row r="34" customFormat="false" ht="15" hidden="false" customHeight="false" outlineLevel="0" collapsed="false">
      <c r="A34" s="11" t="s">
        <v>376</v>
      </c>
      <c r="B34" s="11" t="s">
        <v>110</v>
      </c>
      <c r="C34" s="11" t="s">
        <v>377</v>
      </c>
      <c r="D34" s="11" t="s">
        <v>248</v>
      </c>
      <c r="E34" s="11" t="s">
        <v>37</v>
      </c>
      <c r="F34" s="11" t="s">
        <v>52</v>
      </c>
      <c r="G34" s="11" t="s">
        <v>110</v>
      </c>
      <c r="H34" s="12"/>
      <c r="I34" s="12" t="s">
        <v>24</v>
      </c>
      <c r="J34" s="13"/>
      <c r="K34" s="13"/>
      <c r="L34" s="12"/>
    </row>
    <row r="35" customFormat="false" ht="15" hidden="false" customHeight="false" outlineLevel="0" collapsed="false">
      <c r="A35" s="11" t="s">
        <v>378</v>
      </c>
      <c r="B35" s="11" t="s">
        <v>263</v>
      </c>
      <c r="C35" s="11" t="s">
        <v>379</v>
      </c>
      <c r="D35" s="11" t="s">
        <v>304</v>
      </c>
      <c r="E35" s="11" t="s">
        <v>34</v>
      </c>
      <c r="F35" s="11" t="s">
        <v>52</v>
      </c>
      <c r="G35" s="11" t="s">
        <v>263</v>
      </c>
      <c r="H35" s="12"/>
      <c r="I35" s="12" t="s">
        <v>24</v>
      </c>
      <c r="J35" s="13"/>
      <c r="K35" s="13"/>
      <c r="L35" s="12" t="s">
        <v>380</v>
      </c>
    </row>
    <row r="36" customFormat="false" ht="15" hidden="false" customHeight="false" outlineLevel="0" collapsed="false">
      <c r="A36" s="11" t="s">
        <v>381</v>
      </c>
      <c r="B36" s="11" t="s">
        <v>263</v>
      </c>
      <c r="C36" s="11" t="s">
        <v>382</v>
      </c>
      <c r="D36" s="11" t="s">
        <v>383</v>
      </c>
      <c r="E36" s="11" t="s">
        <v>34</v>
      </c>
      <c r="F36" s="11" t="s">
        <v>52</v>
      </c>
      <c r="G36" s="11" t="s">
        <v>263</v>
      </c>
      <c r="H36" s="12"/>
      <c r="I36" s="12" t="s">
        <v>24</v>
      </c>
      <c r="J36" s="13"/>
      <c r="K36" s="13"/>
      <c r="L36" s="12"/>
    </row>
    <row r="37" customFormat="false" ht="15" hidden="false" customHeight="false" outlineLevel="0" collapsed="false">
      <c r="A37" s="11" t="s">
        <v>384</v>
      </c>
      <c r="B37" s="11" t="s">
        <v>263</v>
      </c>
      <c r="C37" s="11" t="s">
        <v>264</v>
      </c>
      <c r="D37" s="11" t="s">
        <v>265</v>
      </c>
      <c r="E37" s="11" t="s">
        <v>37</v>
      </c>
      <c r="F37" s="11" t="s">
        <v>52</v>
      </c>
      <c r="G37" s="11" t="s">
        <v>263</v>
      </c>
      <c r="H37" s="12"/>
      <c r="I37" s="12" t="s">
        <v>24</v>
      </c>
      <c r="J37" s="13"/>
      <c r="K37" s="13"/>
      <c r="L37" s="12"/>
    </row>
    <row r="38" customFormat="false" ht="15" hidden="false" customHeight="false" outlineLevel="0" collapsed="false">
      <c r="A38" s="11" t="s">
        <v>385</v>
      </c>
      <c r="B38" s="11" t="s">
        <v>263</v>
      </c>
      <c r="C38" s="11" t="s">
        <v>386</v>
      </c>
      <c r="D38" s="11" t="s">
        <v>130</v>
      </c>
      <c r="E38" s="11" t="s">
        <v>37</v>
      </c>
      <c r="F38" s="11" t="s">
        <v>67</v>
      </c>
      <c r="G38" s="11" t="s">
        <v>263</v>
      </c>
      <c r="H38" s="12"/>
      <c r="I38" s="12" t="s">
        <v>24</v>
      </c>
      <c r="J38" s="13"/>
      <c r="K38" s="13"/>
      <c r="L38" s="12"/>
    </row>
    <row r="39" customFormat="false" ht="15" hidden="false" customHeight="false" outlineLevel="0" collapsed="false">
      <c r="A39" s="11" t="s">
        <v>387</v>
      </c>
      <c r="B39" s="11" t="s">
        <v>263</v>
      </c>
      <c r="C39" s="11" t="s">
        <v>388</v>
      </c>
      <c r="D39" s="11" t="s">
        <v>228</v>
      </c>
      <c r="E39" s="11" t="s">
        <v>36</v>
      </c>
      <c r="F39" s="11" t="s">
        <v>52</v>
      </c>
      <c r="G39" s="11" t="s">
        <v>263</v>
      </c>
      <c r="H39" s="12"/>
      <c r="I39" s="12" t="s">
        <v>24</v>
      </c>
      <c r="J39" s="13"/>
      <c r="K39" s="13"/>
      <c r="L39" s="12"/>
    </row>
    <row r="40" customFormat="false" ht="15" hidden="false" customHeight="false" outlineLevel="0" collapsed="false">
      <c r="A40" s="11" t="s">
        <v>389</v>
      </c>
      <c r="B40" s="11" t="s">
        <v>263</v>
      </c>
      <c r="C40" s="11" t="s">
        <v>390</v>
      </c>
      <c r="D40" s="11" t="s">
        <v>255</v>
      </c>
      <c r="E40" s="11" t="s">
        <v>37</v>
      </c>
      <c r="F40" s="11" t="s">
        <v>52</v>
      </c>
      <c r="G40" s="11" t="s">
        <v>263</v>
      </c>
      <c r="H40" s="12"/>
      <c r="I40" s="12" t="s">
        <v>24</v>
      </c>
      <c r="J40" s="13"/>
      <c r="K40" s="13"/>
      <c r="L40" s="12"/>
    </row>
    <row r="41" customFormat="false" ht="15" hidden="false" customHeight="false" outlineLevel="0" collapsed="false">
      <c r="A41" s="11" t="s">
        <v>391</v>
      </c>
      <c r="B41" s="11" t="s">
        <v>263</v>
      </c>
      <c r="C41" s="11" t="s">
        <v>392</v>
      </c>
      <c r="D41" s="11" t="s">
        <v>260</v>
      </c>
      <c r="E41" s="11" t="s">
        <v>37</v>
      </c>
      <c r="F41" s="11" t="s">
        <v>67</v>
      </c>
      <c r="G41" s="11" t="s">
        <v>263</v>
      </c>
      <c r="H41" s="12"/>
      <c r="I41" s="12" t="s">
        <v>24</v>
      </c>
      <c r="J41" s="13"/>
      <c r="K41" s="13"/>
      <c r="L41" s="12"/>
    </row>
    <row r="42" customFormat="false" ht="15" hidden="false" customHeight="false" outlineLevel="0" collapsed="false">
      <c r="A42" s="11" t="s">
        <v>393</v>
      </c>
      <c r="B42" s="11" t="s">
        <v>263</v>
      </c>
      <c r="C42" s="11" t="s">
        <v>394</v>
      </c>
      <c r="D42" s="11" t="s">
        <v>240</v>
      </c>
      <c r="E42" s="11" t="s">
        <v>37</v>
      </c>
      <c r="F42" s="11" t="s">
        <v>223</v>
      </c>
      <c r="G42" s="11" t="s">
        <v>263</v>
      </c>
      <c r="H42" s="12"/>
      <c r="I42" s="12" t="s">
        <v>24</v>
      </c>
      <c r="J42" s="13"/>
      <c r="K42" s="13"/>
      <c r="L42" s="12"/>
    </row>
    <row r="43" customFormat="false" ht="15" hidden="false" customHeight="false" outlineLevel="0" collapsed="false">
      <c r="A43" s="11" t="s">
        <v>395</v>
      </c>
      <c r="B43" s="11" t="s">
        <v>263</v>
      </c>
      <c r="C43" s="11" t="s">
        <v>396</v>
      </c>
      <c r="D43" s="11" t="s">
        <v>268</v>
      </c>
      <c r="E43" s="11" t="s">
        <v>37</v>
      </c>
      <c r="F43" s="11" t="s">
        <v>67</v>
      </c>
      <c r="G43" s="11" t="s">
        <v>263</v>
      </c>
      <c r="H43" s="12"/>
      <c r="I43" s="12" t="s">
        <v>24</v>
      </c>
      <c r="J43" s="13"/>
      <c r="K43" s="13"/>
      <c r="L43" s="12"/>
    </row>
    <row r="44" customFormat="false" ht="15" hidden="false" customHeight="false" outlineLevel="0" collapsed="false">
      <c r="A44" s="11" t="s">
        <v>397</v>
      </c>
      <c r="B44" s="11" t="s">
        <v>263</v>
      </c>
      <c r="C44" s="11" t="s">
        <v>398</v>
      </c>
      <c r="D44" s="11" t="s">
        <v>271</v>
      </c>
      <c r="E44" s="11" t="s">
        <v>37</v>
      </c>
      <c r="F44" s="11" t="s">
        <v>67</v>
      </c>
      <c r="G44" s="11" t="s">
        <v>263</v>
      </c>
      <c r="H44" s="12"/>
      <c r="I44" s="12" t="s">
        <v>24</v>
      </c>
      <c r="J44" s="13"/>
      <c r="K44" s="13"/>
      <c r="L44" s="12"/>
    </row>
    <row r="45" customFormat="false" ht="15" hidden="false" customHeight="false" outlineLevel="0" collapsed="false">
      <c r="A45" s="11" t="s">
        <v>399</v>
      </c>
      <c r="B45" s="11" t="s">
        <v>284</v>
      </c>
      <c r="C45" s="11" t="s">
        <v>400</v>
      </c>
      <c r="D45" s="11" t="s">
        <v>401</v>
      </c>
      <c r="E45" s="11" t="s">
        <v>38</v>
      </c>
      <c r="F45" s="11" t="s">
        <v>67</v>
      </c>
      <c r="G45" s="11" t="s">
        <v>310</v>
      </c>
      <c r="H45" s="12"/>
      <c r="I45" s="12" t="s">
        <v>24</v>
      </c>
      <c r="J45" s="13"/>
      <c r="K45" s="13"/>
      <c r="L45" s="12"/>
    </row>
    <row r="46" customFormat="false" ht="15" hidden="false" customHeight="false" outlineLevel="0" collapsed="false">
      <c r="A46" s="11" t="s">
        <v>402</v>
      </c>
      <c r="B46" s="11" t="s">
        <v>284</v>
      </c>
      <c r="C46" s="11" t="s">
        <v>403</v>
      </c>
      <c r="D46" s="11" t="s">
        <v>401</v>
      </c>
      <c r="E46" s="11" t="s">
        <v>38</v>
      </c>
      <c r="F46" s="11" t="s">
        <v>67</v>
      </c>
      <c r="G46" s="11" t="s">
        <v>305</v>
      </c>
      <c r="H46" s="12"/>
      <c r="I46" s="12" t="s">
        <v>24</v>
      </c>
      <c r="J46" s="13"/>
      <c r="K46" s="13"/>
      <c r="L46" s="12"/>
    </row>
    <row r="47" customFormat="false" ht="15" hidden="false" customHeight="false" outlineLevel="0" collapsed="false">
      <c r="A47" s="11" t="s">
        <v>404</v>
      </c>
      <c r="B47" s="11" t="s">
        <v>284</v>
      </c>
      <c r="C47" s="11" t="s">
        <v>405</v>
      </c>
      <c r="D47" s="11" t="s">
        <v>144</v>
      </c>
      <c r="E47" s="11" t="s">
        <v>38</v>
      </c>
      <c r="F47" s="11" t="s">
        <v>67</v>
      </c>
      <c r="G47" s="11" t="s">
        <v>310</v>
      </c>
      <c r="H47" s="12"/>
      <c r="I47" s="12" t="s">
        <v>24</v>
      </c>
      <c r="J47" s="13"/>
      <c r="K47" s="13"/>
      <c r="L47" s="12"/>
    </row>
    <row r="48" customFormat="false" ht="15" hidden="false" customHeight="false" outlineLevel="0" collapsed="false">
      <c r="A48" s="11" t="s">
        <v>406</v>
      </c>
      <c r="B48" s="11" t="s">
        <v>284</v>
      </c>
      <c r="C48" s="11" t="s">
        <v>407</v>
      </c>
      <c r="D48" s="11" t="s">
        <v>144</v>
      </c>
      <c r="E48" s="11" t="s">
        <v>38</v>
      </c>
      <c r="F48" s="11" t="s">
        <v>67</v>
      </c>
      <c r="G48" s="11" t="s">
        <v>310</v>
      </c>
      <c r="H48" s="12"/>
      <c r="I48" s="12" t="s">
        <v>24</v>
      </c>
      <c r="J48" s="13"/>
      <c r="K48" s="13"/>
      <c r="L48" s="12"/>
    </row>
    <row r="49" customFormat="false" ht="15" hidden="false" customHeight="false" outlineLevel="0" collapsed="false">
      <c r="A49" s="11" t="s">
        <v>408</v>
      </c>
      <c r="B49" s="11" t="s">
        <v>284</v>
      </c>
      <c r="C49" s="11" t="s">
        <v>409</v>
      </c>
      <c r="D49" s="11" t="s">
        <v>144</v>
      </c>
      <c r="E49" s="11" t="s">
        <v>38</v>
      </c>
      <c r="F49" s="11" t="s">
        <v>67</v>
      </c>
      <c r="G49" s="11" t="s">
        <v>310</v>
      </c>
      <c r="H49" s="12"/>
      <c r="I49" s="12" t="s">
        <v>24</v>
      </c>
      <c r="J49" s="13"/>
      <c r="K49" s="13"/>
      <c r="L49" s="12" t="s">
        <v>410</v>
      </c>
    </row>
  </sheetData>
  <autoFilter ref="A1:L49"/>
  <conditionalFormatting sqref="I2:I99">
    <cfRule type="cellIs" priority="2" operator="equal" aboveAverage="0" equalAverage="0" bottom="0" percent="0" rank="0" text="" dxfId="4">
      <formula>"Done"</formula>
    </cfRule>
    <cfRule type="cellIs" priority="3" operator="equal" aboveAverage="0" equalAverage="0" bottom="0" percent="0" rank="0" text="" dxfId="5">
      <formula>"In Progress"</formula>
    </cfRule>
    <cfRule type="cellIs" priority="4" operator="equal" aboveAverage="0" equalAverage="0" bottom="0" percent="0" rank="0" text="" dxfId="6">
      <formula>"Blocked"</formula>
    </cfRule>
  </conditionalFormatting>
  <dataValidations count="2">
    <dataValidation allowBlank="false" errorStyle="stop" operator="between" showDropDown="false" showErrorMessage="false" showInputMessage="false" sqref="I2:I99" type="list">
      <formula1>"Not Started,In Progress,In Review,Blocked,Done"</formula1>
      <formula2>0</formula2>
    </dataValidation>
    <dataValidation allowBlank="false" errorStyle="stop" operator="between" showDropDown="false" showErrorMessage="false" showInputMessage="false" sqref="F2:F99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28"/>
    <col collapsed="false" customWidth="true" hidden="false" outlineLevel="0" max="4" min="4" style="0" width="20"/>
    <col collapsed="false" customWidth="true" hidden="false" outlineLevel="0" max="5" min="5" style="0" width="40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4" t="s">
        <v>411</v>
      </c>
      <c r="B1" s="4" t="s">
        <v>412</v>
      </c>
      <c r="C1" s="4" t="s">
        <v>413</v>
      </c>
      <c r="D1" s="4" t="s">
        <v>414</v>
      </c>
      <c r="E1" s="4" t="s">
        <v>415</v>
      </c>
      <c r="F1" s="4" t="s">
        <v>20</v>
      </c>
    </row>
    <row r="2" customFormat="false" ht="15" hidden="false" customHeight="false" outlineLevel="0" collapsed="false">
      <c r="A2" s="11" t="n">
        <v>1</v>
      </c>
      <c r="B2" s="11" t="s">
        <v>416</v>
      </c>
      <c r="C2" s="11" t="s">
        <v>417</v>
      </c>
      <c r="D2" s="11" t="s">
        <v>418</v>
      </c>
      <c r="E2" s="12"/>
      <c r="F2" s="12" t="s">
        <v>419</v>
      </c>
    </row>
    <row r="3" customFormat="false" ht="15" hidden="false" customHeight="false" outlineLevel="0" collapsed="false">
      <c r="A3" s="11" t="n">
        <v>2</v>
      </c>
      <c r="B3" s="11" t="s">
        <v>420</v>
      </c>
      <c r="C3" s="11" t="s">
        <v>421</v>
      </c>
      <c r="D3" s="11" t="s">
        <v>422</v>
      </c>
      <c r="E3" s="12"/>
      <c r="F3" s="12" t="s">
        <v>419</v>
      </c>
    </row>
    <row r="4" customFormat="false" ht="15" hidden="false" customHeight="false" outlineLevel="0" collapsed="false">
      <c r="A4" s="11" t="n">
        <v>3</v>
      </c>
      <c r="B4" s="11" t="s">
        <v>423</v>
      </c>
      <c r="C4" s="11" t="s">
        <v>424</v>
      </c>
      <c r="D4" s="11" t="s">
        <v>418</v>
      </c>
      <c r="E4" s="12"/>
      <c r="F4" s="12" t="s">
        <v>419</v>
      </c>
    </row>
    <row r="5" customFormat="false" ht="15" hidden="false" customHeight="false" outlineLevel="0" collapsed="false">
      <c r="A5" s="11" t="n">
        <v>4</v>
      </c>
      <c r="B5" s="11" t="s">
        <v>425</v>
      </c>
      <c r="C5" s="11" t="s">
        <v>426</v>
      </c>
      <c r="D5" s="11" t="s">
        <v>427</v>
      </c>
      <c r="E5" s="12"/>
      <c r="F5" s="12" t="s">
        <v>419</v>
      </c>
    </row>
    <row r="6" customFormat="false" ht="15" hidden="false" customHeight="false" outlineLevel="0" collapsed="false">
      <c r="A6" s="11" t="n">
        <v>5</v>
      </c>
      <c r="B6" s="11" t="s">
        <v>428</v>
      </c>
      <c r="C6" s="11" t="s">
        <v>429</v>
      </c>
      <c r="D6" s="11" t="s">
        <v>418</v>
      </c>
      <c r="E6" s="12"/>
      <c r="F6" s="12" t="s">
        <v>419</v>
      </c>
    </row>
    <row r="7" customFormat="false" ht="15" hidden="false" customHeight="false" outlineLevel="0" collapsed="false">
      <c r="A7" s="11" t="n">
        <v>6</v>
      </c>
      <c r="B7" s="11" t="s">
        <v>430</v>
      </c>
      <c r="C7" s="11" t="s">
        <v>431</v>
      </c>
      <c r="D7" s="11" t="s">
        <v>418</v>
      </c>
      <c r="E7" s="12"/>
      <c r="F7" s="12" t="s">
        <v>419</v>
      </c>
    </row>
    <row r="8" customFormat="false" ht="15" hidden="false" customHeight="false" outlineLevel="0" collapsed="false">
      <c r="A8" s="11" t="n">
        <v>7</v>
      </c>
      <c r="B8" s="11" t="s">
        <v>432</v>
      </c>
      <c r="C8" s="11" t="s">
        <v>433</v>
      </c>
      <c r="D8" s="11" t="s">
        <v>418</v>
      </c>
      <c r="E8" s="12"/>
      <c r="F8" s="12" t="s">
        <v>419</v>
      </c>
    </row>
    <row r="9" customFormat="false" ht="15" hidden="false" customHeight="false" outlineLevel="0" collapsed="false">
      <c r="A9" s="11" t="n">
        <v>8</v>
      </c>
      <c r="B9" s="11" t="s">
        <v>434</v>
      </c>
      <c r="C9" s="11" t="s">
        <v>435</v>
      </c>
      <c r="D9" s="11" t="s">
        <v>418</v>
      </c>
      <c r="E9" s="12"/>
      <c r="F9" s="12" t="s">
        <v>419</v>
      </c>
    </row>
    <row r="10" customFormat="false" ht="15" hidden="false" customHeight="false" outlineLevel="0" collapsed="false">
      <c r="A10" s="11" t="n">
        <v>9</v>
      </c>
      <c r="B10" s="11" t="s">
        <v>436</v>
      </c>
      <c r="C10" s="11" t="s">
        <v>437</v>
      </c>
      <c r="D10" s="11" t="s">
        <v>418</v>
      </c>
      <c r="E10" s="12"/>
      <c r="F10" s="12" t="s">
        <v>419</v>
      </c>
    </row>
    <row r="11" customFormat="false" ht="15" hidden="false" customHeight="false" outlineLevel="0" collapsed="false">
      <c r="A11" s="11" t="n">
        <v>10</v>
      </c>
      <c r="B11" s="11" t="s">
        <v>438</v>
      </c>
      <c r="C11" s="11" t="s">
        <v>439</v>
      </c>
      <c r="D11" s="11" t="s">
        <v>418</v>
      </c>
      <c r="E11" s="12"/>
      <c r="F11" s="12" t="s">
        <v>419</v>
      </c>
    </row>
    <row r="12" customFormat="false" ht="15" hidden="false" customHeight="false" outlineLevel="0" collapsed="false">
      <c r="A12" s="11" t="n">
        <v>11</v>
      </c>
      <c r="B12" s="11" t="s">
        <v>440</v>
      </c>
      <c r="C12" s="11" t="s">
        <v>441</v>
      </c>
      <c r="D12" s="11" t="s">
        <v>442</v>
      </c>
      <c r="E12" s="12"/>
      <c r="F12" s="12" t="s">
        <v>419</v>
      </c>
    </row>
    <row r="13" customFormat="false" ht="15" hidden="false" customHeight="false" outlineLevel="0" collapsed="false">
      <c r="A13" s="11" t="n">
        <v>12</v>
      </c>
      <c r="B13" s="11" t="s">
        <v>443</v>
      </c>
      <c r="C13" s="11" t="s">
        <v>444</v>
      </c>
      <c r="D13" s="11" t="s">
        <v>445</v>
      </c>
      <c r="E13" s="12"/>
      <c r="F13" s="12" t="s">
        <v>419</v>
      </c>
    </row>
    <row r="14" customFormat="false" ht="15" hidden="false" customHeight="false" outlineLevel="0" collapsed="false">
      <c r="A14" s="11" t="n">
        <v>13</v>
      </c>
      <c r="B14" s="11" t="s">
        <v>446</v>
      </c>
      <c r="C14" s="11" t="s">
        <v>447</v>
      </c>
      <c r="D14" s="11" t="s">
        <v>445</v>
      </c>
      <c r="E14" s="12"/>
      <c r="F14" s="12" t="s">
        <v>419</v>
      </c>
    </row>
    <row r="15" customFormat="false" ht="15" hidden="false" customHeight="false" outlineLevel="0" collapsed="false">
      <c r="A15" s="11" t="n">
        <v>14</v>
      </c>
      <c r="B15" s="11" t="s">
        <v>448</v>
      </c>
      <c r="C15" s="11" t="s">
        <v>449</v>
      </c>
      <c r="D15" s="11" t="s">
        <v>450</v>
      </c>
      <c r="E15" s="12"/>
      <c r="F15" s="12" t="s">
        <v>419</v>
      </c>
    </row>
    <row r="16" customFormat="false" ht="15" hidden="false" customHeight="false" outlineLevel="0" collapsed="false">
      <c r="A16" s="11" t="n">
        <v>15</v>
      </c>
      <c r="B16" s="11" t="s">
        <v>451</v>
      </c>
      <c r="C16" s="11" t="s">
        <v>231</v>
      </c>
      <c r="D16" s="11" t="s">
        <v>445</v>
      </c>
      <c r="E16" s="12"/>
      <c r="F16" s="12" t="s">
        <v>419</v>
      </c>
    </row>
    <row r="17" customFormat="false" ht="15" hidden="false" customHeight="false" outlineLevel="0" collapsed="false">
      <c r="A17" s="11" t="n">
        <v>16</v>
      </c>
      <c r="B17" s="11" t="s">
        <v>452</v>
      </c>
      <c r="C17" s="11" t="s">
        <v>453</v>
      </c>
      <c r="D17" s="11" t="s">
        <v>450</v>
      </c>
      <c r="E17" s="12"/>
      <c r="F17" s="12" t="s">
        <v>419</v>
      </c>
    </row>
    <row r="18" customFormat="false" ht="15" hidden="false" customHeight="false" outlineLevel="0" collapsed="false">
      <c r="A18" s="11" t="n">
        <v>17</v>
      </c>
      <c r="B18" s="11" t="s">
        <v>454</v>
      </c>
      <c r="C18" s="11" t="s">
        <v>189</v>
      </c>
      <c r="D18" s="11" t="s">
        <v>422</v>
      </c>
      <c r="E18" s="12"/>
      <c r="F18" s="12" t="s">
        <v>419</v>
      </c>
    </row>
    <row r="19" customFormat="false" ht="15" hidden="false" customHeight="false" outlineLevel="0" collapsed="false">
      <c r="A19" s="11" t="n">
        <v>18</v>
      </c>
      <c r="B19" s="11" t="s">
        <v>455</v>
      </c>
      <c r="C19" s="11" t="s">
        <v>456</v>
      </c>
      <c r="D19" s="11" t="s">
        <v>422</v>
      </c>
      <c r="E19" s="12"/>
      <c r="F19" s="12" t="s">
        <v>419</v>
      </c>
    </row>
    <row r="20" customFormat="false" ht="15" hidden="false" customHeight="false" outlineLevel="0" collapsed="false">
      <c r="A20" s="11" t="n">
        <v>19</v>
      </c>
      <c r="B20" s="11" t="s">
        <v>457</v>
      </c>
      <c r="C20" s="11" t="s">
        <v>458</v>
      </c>
      <c r="D20" s="11" t="s">
        <v>427</v>
      </c>
      <c r="E20" s="12"/>
      <c r="F20" s="12" t="s">
        <v>419</v>
      </c>
    </row>
    <row r="21" customFormat="false" ht="15" hidden="false" customHeight="false" outlineLevel="0" collapsed="false">
      <c r="A21" s="11" t="n">
        <v>20</v>
      </c>
      <c r="B21" s="11" t="s">
        <v>459</v>
      </c>
      <c r="C21" s="11" t="s">
        <v>458</v>
      </c>
      <c r="D21" s="11" t="s">
        <v>418</v>
      </c>
      <c r="E21" s="12"/>
      <c r="F21" s="12" t="s">
        <v>419</v>
      </c>
    </row>
    <row r="22" customFormat="false" ht="15" hidden="false" customHeight="false" outlineLevel="0" collapsed="false">
      <c r="A22" s="11" t="n">
        <v>21</v>
      </c>
      <c r="B22" s="11" t="s">
        <v>460</v>
      </c>
      <c r="C22" s="11" t="s">
        <v>258</v>
      </c>
      <c r="D22" s="11" t="s">
        <v>418</v>
      </c>
      <c r="E22" s="12"/>
      <c r="F22" s="12" t="s">
        <v>419</v>
      </c>
    </row>
    <row r="23" customFormat="false" ht="15" hidden="false" customHeight="false" outlineLevel="0" collapsed="false">
      <c r="A23" s="11" t="n">
        <v>22</v>
      </c>
      <c r="B23" s="11" t="s">
        <v>93</v>
      </c>
      <c r="C23" s="11" t="s">
        <v>76</v>
      </c>
      <c r="D23" s="11" t="s">
        <v>422</v>
      </c>
      <c r="E23" s="12"/>
      <c r="F23" s="12" t="s">
        <v>419</v>
      </c>
    </row>
    <row r="24" customFormat="false" ht="15" hidden="false" customHeight="false" outlineLevel="0" collapsed="false">
      <c r="A24" s="11" t="n">
        <v>23</v>
      </c>
      <c r="B24" s="11" t="s">
        <v>461</v>
      </c>
      <c r="C24" s="11" t="s">
        <v>76</v>
      </c>
      <c r="D24" s="11" t="s">
        <v>422</v>
      </c>
      <c r="E24" s="12"/>
      <c r="F24" s="12" t="s">
        <v>419</v>
      </c>
    </row>
    <row r="25" customFormat="false" ht="15" hidden="false" customHeight="false" outlineLevel="0" collapsed="false">
      <c r="A25" s="11" t="n">
        <v>24</v>
      </c>
      <c r="B25" s="11" t="s">
        <v>462</v>
      </c>
      <c r="C25" s="11" t="s">
        <v>124</v>
      </c>
      <c r="D25" s="11" t="s">
        <v>463</v>
      </c>
      <c r="E25" s="12"/>
      <c r="F25" s="12" t="s">
        <v>419</v>
      </c>
    </row>
    <row r="26" customFormat="false" ht="15" hidden="false" customHeight="false" outlineLevel="0" collapsed="false">
      <c r="A26" s="11" t="n">
        <v>25</v>
      </c>
      <c r="B26" s="11" t="s">
        <v>464</v>
      </c>
      <c r="C26" s="11" t="s">
        <v>124</v>
      </c>
      <c r="D26" s="11" t="s">
        <v>463</v>
      </c>
      <c r="E26" s="12"/>
      <c r="F26" s="12" t="s">
        <v>419</v>
      </c>
    </row>
    <row r="27" customFormat="false" ht="15" hidden="false" customHeight="false" outlineLevel="0" collapsed="false">
      <c r="A27" s="11" t="n">
        <v>26</v>
      </c>
      <c r="B27" s="11" t="s">
        <v>465</v>
      </c>
      <c r="C27" s="11" t="s">
        <v>277</v>
      </c>
      <c r="D27" s="11" t="s">
        <v>463</v>
      </c>
      <c r="E27" s="12"/>
      <c r="F27" s="12" t="s">
        <v>419</v>
      </c>
    </row>
    <row r="28" customFormat="false" ht="15" hidden="false" customHeight="false" outlineLevel="0" collapsed="false">
      <c r="A28" s="11" t="n">
        <v>27</v>
      </c>
      <c r="B28" s="11" t="s">
        <v>466</v>
      </c>
      <c r="C28" s="11" t="s">
        <v>467</v>
      </c>
      <c r="D28" s="11" t="s">
        <v>422</v>
      </c>
      <c r="E28" s="12"/>
      <c r="F28" s="12" t="s">
        <v>419</v>
      </c>
    </row>
    <row r="29" customFormat="false" ht="15" hidden="false" customHeight="false" outlineLevel="0" collapsed="false">
      <c r="A29" s="11" t="n">
        <v>28</v>
      </c>
      <c r="B29" s="11" t="s">
        <v>468</v>
      </c>
      <c r="C29" s="11" t="s">
        <v>469</v>
      </c>
      <c r="D29" s="11" t="s">
        <v>418</v>
      </c>
      <c r="E29" s="12"/>
      <c r="F29" s="12" t="s">
        <v>419</v>
      </c>
    </row>
    <row r="30" customFormat="false" ht="15" hidden="false" customHeight="false" outlineLevel="0" collapsed="false">
      <c r="A30" s="11" t="n">
        <v>29</v>
      </c>
      <c r="B30" s="11" t="s">
        <v>470</v>
      </c>
      <c r="C30" s="11" t="s">
        <v>203</v>
      </c>
      <c r="D30" s="11" t="s">
        <v>418</v>
      </c>
      <c r="E30" s="12"/>
      <c r="F30" s="12" t="s">
        <v>419</v>
      </c>
    </row>
    <row r="31" customFormat="false" ht="15" hidden="false" customHeight="false" outlineLevel="0" collapsed="false">
      <c r="A31" s="11" t="n">
        <v>30</v>
      </c>
      <c r="B31" s="11" t="s">
        <v>471</v>
      </c>
      <c r="C31" s="11" t="s">
        <v>147</v>
      </c>
      <c r="D31" s="11" t="s">
        <v>418</v>
      </c>
      <c r="E31" s="12"/>
      <c r="F31" s="12" t="s">
        <v>419</v>
      </c>
    </row>
    <row r="32" customFormat="false" ht="15" hidden="false" customHeight="false" outlineLevel="0" collapsed="false">
      <c r="A32" s="11" t="n">
        <v>31</v>
      </c>
      <c r="B32" s="11" t="s">
        <v>472</v>
      </c>
      <c r="C32" s="11" t="s">
        <v>238</v>
      </c>
      <c r="D32" s="11" t="s">
        <v>450</v>
      </c>
      <c r="E32" s="12"/>
      <c r="F32" s="12" t="s">
        <v>419</v>
      </c>
    </row>
  </sheetData>
  <dataValidations count="1">
    <dataValidation allowBlank="false" errorStyle="stop" operator="between" showDropDown="false" showErrorMessage="false" showInputMessage="false" sqref="F2:F71" type="list">
      <formula1>"Open,Decided"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2026-10-20T13:23:44Z</dcterms:created>
  <dc:creator>openpyxl</dc:creator>
  <dc:description/>
  <dc:language>en-US</dc:language>
  <cp:lastModifiedBy/>
  <dcterms:modified xsi:type="dcterms:W3CDTF">2026-10-20T13:23:44Z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